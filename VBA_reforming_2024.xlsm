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Архив\программа по риформингу\программа 2024 года\"/>
    </mc:Choice>
  </mc:AlternateContent>
  <bookViews>
    <workbookView xWindow="0" yWindow="0" windowWidth="28800" windowHeight="12432"/>
  </bookViews>
  <sheets>
    <sheet name="Лист1" sheetId="1" r:id="rId1"/>
    <sheet name="Лист3" sheetId="3" r:id="rId2"/>
    <sheet name="Лист2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23" i="1" l="1"/>
  <c r="O41" i="1"/>
  <c r="H41" i="1"/>
  <c r="E41" i="1"/>
  <c r="I99" i="1"/>
  <c r="E29" i="1" l="1"/>
  <c r="E28" i="1"/>
  <c r="C28" i="1"/>
  <c r="L20" i="1"/>
  <c r="G6" i="1" l="1"/>
  <c r="D120" i="1"/>
  <c r="L90" i="1"/>
  <c r="L89" i="1"/>
  <c r="L88" i="1"/>
  <c r="L87" i="1"/>
  <c r="L86" i="1"/>
  <c r="K104" i="1" l="1"/>
  <c r="K103" i="1"/>
  <c r="E103" i="1"/>
  <c r="D105" i="1"/>
  <c r="E105" i="1" s="1"/>
  <c r="D104" i="1"/>
  <c r="E104" i="1" s="1"/>
  <c r="D102" i="1"/>
  <c r="D101" i="1"/>
  <c r="E101" i="1" s="1"/>
  <c r="D100" i="1"/>
  <c r="E100" i="1" s="1"/>
  <c r="D99" i="1"/>
  <c r="E99" i="1" s="1"/>
  <c r="D98" i="1"/>
  <c r="E98" i="1" s="1"/>
  <c r="D97" i="1"/>
  <c r="E97" i="1" s="1"/>
  <c r="G10" i="1"/>
  <c r="K101" i="1" s="1"/>
  <c r="G9" i="1"/>
  <c r="K100" i="1" s="1"/>
  <c r="M40" i="1"/>
  <c r="L40" i="1"/>
  <c r="K40" i="1"/>
  <c r="I40" i="1"/>
  <c r="H40" i="1"/>
  <c r="G40" i="1"/>
  <c r="F40" i="1"/>
  <c r="G8" i="1"/>
  <c r="K99" i="1" s="1"/>
  <c r="G7" i="1"/>
  <c r="G41" i="1" s="1"/>
  <c r="K97" i="1"/>
  <c r="C14" i="1"/>
  <c r="S32" i="1"/>
  <c r="S31" i="1"/>
  <c r="S21" i="1"/>
  <c r="K98" i="1" l="1"/>
  <c r="D106" i="1"/>
  <c r="H105" i="1" s="1"/>
  <c r="I105" i="1" s="1"/>
  <c r="E102" i="1"/>
  <c r="E106" i="1" s="1"/>
  <c r="F104" i="1" s="1"/>
  <c r="H100" i="1"/>
  <c r="I100" i="1" s="1"/>
  <c r="O40" i="1"/>
  <c r="F105" i="1" l="1"/>
  <c r="F98" i="1"/>
  <c r="G105" i="1"/>
  <c r="G97" i="1"/>
  <c r="H104" i="1"/>
  <c r="I104" i="1" s="1"/>
  <c r="G103" i="1"/>
  <c r="F97" i="1"/>
  <c r="G101" i="1"/>
  <c r="H97" i="1"/>
  <c r="I97" i="1" s="1"/>
  <c r="G98" i="1"/>
  <c r="H102" i="1"/>
  <c r="I102" i="1" s="1"/>
  <c r="G102" i="1"/>
  <c r="F100" i="1"/>
  <c r="H98" i="1"/>
  <c r="I98" i="1" s="1"/>
  <c r="G104" i="1"/>
  <c r="H99" i="1"/>
  <c r="G99" i="1"/>
  <c r="F103" i="1"/>
  <c r="G100" i="1"/>
  <c r="H101" i="1"/>
  <c r="I101" i="1" s="1"/>
  <c r="F102" i="1"/>
  <c r="F99" i="1"/>
  <c r="F101" i="1"/>
  <c r="S29" i="1"/>
  <c r="S27" i="1"/>
  <c r="S26" i="1"/>
  <c r="S28" i="1"/>
  <c r="S25" i="1"/>
  <c r="S24" i="1"/>
  <c r="I106" i="1" l="1"/>
  <c r="H106" i="1"/>
  <c r="F106" i="1"/>
  <c r="G106" i="1"/>
  <c r="S30" i="1"/>
  <c r="S22" i="1"/>
  <c r="S23" i="1" s="1"/>
  <c r="L41" i="1" l="1"/>
  <c r="L42" i="1" l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C21" i="1" l="1"/>
  <c r="L8" i="1"/>
  <c r="L6" i="1"/>
  <c r="D20" i="1" l="1"/>
  <c r="M20" i="1" s="1"/>
  <c r="E120" i="1"/>
  <c r="D29" i="1"/>
  <c r="L29" i="1" s="1"/>
  <c r="D28" i="1"/>
  <c r="D31" i="1"/>
  <c r="D21" i="1"/>
  <c r="D23" i="1"/>
  <c r="D25" i="1"/>
  <c r="L25" i="1" s="1"/>
  <c r="D27" i="1"/>
  <c r="L27" i="1" s="1"/>
  <c r="D22" i="1"/>
  <c r="D26" i="1"/>
  <c r="D24" i="1"/>
  <c r="L24" i="1" s="1"/>
  <c r="M28" i="1" l="1"/>
  <c r="M29" i="1"/>
  <c r="L28" i="1"/>
  <c r="E21" i="1"/>
  <c r="M21" i="1"/>
  <c r="E31" i="1"/>
  <c r="M31" i="1"/>
  <c r="L31" i="1"/>
  <c r="L21" i="1"/>
  <c r="E26" i="1"/>
  <c r="M26" i="1"/>
  <c r="E22" i="1"/>
  <c r="M22" i="1"/>
  <c r="E27" i="1"/>
  <c r="M27" i="1"/>
  <c r="L26" i="1"/>
  <c r="E23" i="1"/>
  <c r="M23" i="1"/>
  <c r="L22" i="1"/>
  <c r="E25" i="1"/>
  <c r="M25" i="1"/>
  <c r="E24" i="1"/>
  <c r="M24" i="1"/>
  <c r="L23" i="1"/>
  <c r="E20" i="1"/>
  <c r="T31" i="1" l="1"/>
  <c r="T25" i="1"/>
  <c r="T32" i="1"/>
  <c r="U32" i="1"/>
  <c r="U31" i="1"/>
  <c r="U30" i="1"/>
  <c r="T26" i="1"/>
  <c r="T28" i="1"/>
  <c r="U21" i="1"/>
  <c r="T29" i="1"/>
  <c r="U29" i="1"/>
  <c r="U28" i="1"/>
  <c r="U26" i="1"/>
  <c r="T21" i="1"/>
  <c r="U22" i="1"/>
  <c r="U25" i="1"/>
  <c r="U24" i="1"/>
  <c r="T22" i="1"/>
  <c r="T24" i="1"/>
  <c r="T30" i="1"/>
  <c r="T27" i="1"/>
  <c r="U27" i="1"/>
  <c r="V31" i="1" l="1"/>
  <c r="W31" i="1" s="1"/>
  <c r="Z31" i="1" s="1"/>
  <c r="V32" i="1"/>
  <c r="W32" i="1" s="1"/>
  <c r="Z32" i="1" s="1"/>
  <c r="V21" i="1"/>
  <c r="V29" i="1"/>
  <c r="W29" i="1" s="1"/>
  <c r="V26" i="1"/>
  <c r="W26" i="1" s="1"/>
  <c r="V28" i="1"/>
  <c r="W28" i="1" s="1"/>
  <c r="V22" i="1"/>
  <c r="W22" i="1" s="1"/>
  <c r="V25" i="1"/>
  <c r="W25" i="1" s="1"/>
  <c r="T23" i="1"/>
  <c r="V27" i="1"/>
  <c r="W27" i="1" s="1"/>
  <c r="V30" i="1"/>
  <c r="W30" i="1" s="1"/>
  <c r="V24" i="1"/>
  <c r="W24" i="1" s="1"/>
  <c r="F41" i="1" s="1"/>
  <c r="C41" i="1" l="1"/>
  <c r="D41" i="1"/>
  <c r="B41" i="1"/>
  <c r="W21" i="1"/>
  <c r="W23" i="1" s="1"/>
  <c r="V23" i="1"/>
  <c r="J41" i="1" l="1"/>
  <c r="K41" i="1" l="1"/>
  <c r="M41" i="1"/>
  <c r="I41" i="1"/>
  <c r="G42" i="1" s="1"/>
  <c r="N41" i="1" l="1"/>
  <c r="F42" i="1"/>
  <c r="H42" i="1" l="1"/>
  <c r="J42" i="1" l="1"/>
  <c r="M42" i="1" s="1"/>
  <c r="K42" i="1"/>
  <c r="I42" i="1" s="1"/>
  <c r="N42" i="1" l="1"/>
  <c r="G43" i="1"/>
  <c r="O42" i="1"/>
  <c r="F43" i="1" l="1"/>
  <c r="H43" i="1" l="1"/>
  <c r="J43" i="1" s="1"/>
  <c r="M43" i="1" s="1"/>
  <c r="K43" i="1" l="1"/>
  <c r="I43" i="1" s="1"/>
  <c r="G44" i="1" l="1"/>
  <c r="O43" i="1"/>
  <c r="N43" i="1"/>
  <c r="F44" i="1" l="1"/>
  <c r="H44" i="1" l="1"/>
  <c r="J44" i="1" s="1"/>
  <c r="M44" i="1" l="1"/>
  <c r="K44" i="1"/>
  <c r="I44" i="1" s="1"/>
  <c r="G45" i="1" s="1"/>
  <c r="O44" i="1" l="1"/>
  <c r="B45" i="1" s="1"/>
  <c r="N44" i="1"/>
  <c r="F45" i="1"/>
  <c r="D45" i="1" s="1"/>
  <c r="E45" i="1" s="1"/>
  <c r="H45" i="1" l="1"/>
  <c r="J45" i="1" s="1"/>
  <c r="M45" i="1" s="1"/>
  <c r="K45" i="1" l="1"/>
  <c r="I45" i="1" s="1"/>
  <c r="N45" i="1" l="1"/>
  <c r="G46" i="1"/>
  <c r="O45" i="1"/>
  <c r="B46" i="1" s="1"/>
  <c r="F46" i="1" l="1"/>
  <c r="H46" i="1" l="1"/>
  <c r="J46" i="1" s="1"/>
  <c r="M46" i="1" s="1"/>
  <c r="D46" i="1"/>
  <c r="E46" i="1" s="1"/>
  <c r="K46" i="1" l="1"/>
  <c r="I46" i="1" s="1"/>
  <c r="N46" i="1" l="1"/>
  <c r="G47" i="1"/>
  <c r="O46" i="1"/>
  <c r="B47" i="1" s="1"/>
  <c r="F47" i="1" l="1"/>
  <c r="D47" i="1" s="1"/>
  <c r="E47" i="1" s="1"/>
  <c r="H47" i="1"/>
  <c r="J47" i="1" l="1"/>
  <c r="M47" i="1" s="1"/>
  <c r="K47" i="1" l="1"/>
  <c r="I47" i="1" s="1"/>
  <c r="N47" i="1" l="1"/>
  <c r="G48" i="1"/>
  <c r="O47" i="1"/>
  <c r="B48" i="1" s="1"/>
  <c r="F48" i="1" l="1"/>
  <c r="D48" i="1" l="1"/>
  <c r="E48" i="1" s="1"/>
  <c r="H48" i="1"/>
  <c r="J48" i="1" l="1"/>
  <c r="M48" i="1" s="1"/>
  <c r="K48" i="1"/>
  <c r="I48" i="1" s="1"/>
  <c r="O48" i="1" l="1"/>
  <c r="B49" i="1" s="1"/>
  <c r="N48" i="1"/>
  <c r="G49" i="1"/>
  <c r="F49" i="1" s="1"/>
  <c r="H49" i="1" l="1"/>
  <c r="J49" i="1" s="1"/>
  <c r="M49" i="1" s="1"/>
  <c r="D49" i="1"/>
  <c r="E49" i="1" s="1"/>
  <c r="K49" i="1" l="1"/>
  <c r="I49" i="1" s="1"/>
  <c r="N49" i="1"/>
  <c r="G50" i="1" l="1"/>
  <c r="O49" i="1"/>
  <c r="B50" i="1" s="1"/>
  <c r="F50" i="1" l="1"/>
  <c r="H50" i="1" l="1"/>
  <c r="J50" i="1" s="1"/>
  <c r="M50" i="1" s="1"/>
  <c r="D50" i="1"/>
  <c r="E50" i="1" s="1"/>
  <c r="K50" i="1" l="1"/>
  <c r="I50" i="1" s="1"/>
  <c r="N50" i="1" l="1"/>
  <c r="G51" i="1"/>
  <c r="O50" i="1"/>
  <c r="B51" i="1" s="1"/>
  <c r="F51" i="1" l="1"/>
  <c r="H51" i="1" l="1"/>
  <c r="J51" i="1" s="1"/>
  <c r="M51" i="1" s="1"/>
  <c r="D51" i="1"/>
  <c r="E51" i="1" s="1"/>
  <c r="K51" i="1" l="1"/>
  <c r="I51" i="1" s="1"/>
  <c r="N51" i="1" l="1"/>
  <c r="G52" i="1"/>
  <c r="O51" i="1"/>
  <c r="B52" i="1" s="1"/>
  <c r="F52" i="1" l="1"/>
  <c r="H52" i="1" l="1"/>
  <c r="J52" i="1" s="1"/>
  <c r="M52" i="1" s="1"/>
  <c r="D52" i="1"/>
  <c r="E52" i="1" s="1"/>
  <c r="K52" i="1" l="1"/>
  <c r="I52" i="1" s="1"/>
  <c r="N52" i="1"/>
  <c r="G53" i="1" l="1"/>
  <c r="O52" i="1"/>
  <c r="B53" i="1" s="1"/>
  <c r="F53" i="1" l="1"/>
  <c r="D53" i="1" l="1"/>
  <c r="E53" i="1" s="1"/>
  <c r="H53" i="1"/>
  <c r="J53" i="1" s="1"/>
  <c r="M53" i="1" s="1"/>
  <c r="K53" i="1" l="1"/>
  <c r="I53" i="1" s="1"/>
  <c r="N53" i="1" l="1"/>
  <c r="G54" i="1"/>
  <c r="O53" i="1"/>
  <c r="B54" i="1" s="1"/>
  <c r="F54" i="1" l="1"/>
  <c r="H54" i="1" l="1"/>
  <c r="J54" i="1" s="1"/>
  <c r="M54" i="1" s="1"/>
  <c r="D54" i="1"/>
  <c r="E54" i="1" s="1"/>
  <c r="K54" i="1" l="1"/>
  <c r="I54" i="1" s="1"/>
  <c r="N54" i="1" l="1"/>
  <c r="G55" i="1"/>
  <c r="O54" i="1"/>
  <c r="B55" i="1" s="1"/>
  <c r="F55" i="1" l="1"/>
  <c r="H55" i="1" l="1"/>
  <c r="J55" i="1" s="1"/>
  <c r="M55" i="1" s="1"/>
  <c r="D55" i="1"/>
  <c r="E55" i="1" s="1"/>
  <c r="K55" i="1" l="1"/>
  <c r="I55" i="1" s="1"/>
  <c r="N55" i="1" l="1"/>
  <c r="G56" i="1"/>
  <c r="O55" i="1"/>
  <c r="B56" i="1" s="1"/>
  <c r="F56" i="1" l="1"/>
  <c r="H56" i="1" l="1"/>
  <c r="J56" i="1" s="1"/>
  <c r="M56" i="1" s="1"/>
  <c r="D56" i="1"/>
  <c r="E56" i="1" s="1"/>
  <c r="K56" i="1" l="1"/>
  <c r="I56" i="1" s="1"/>
  <c r="N56" i="1" l="1"/>
  <c r="G57" i="1"/>
  <c r="O56" i="1"/>
  <c r="B57" i="1" s="1"/>
  <c r="F57" i="1" l="1"/>
  <c r="H57" i="1" l="1"/>
  <c r="J57" i="1" s="1"/>
  <c r="M57" i="1" s="1"/>
  <c r="D57" i="1"/>
  <c r="E57" i="1" s="1"/>
  <c r="K57" i="1" l="1"/>
  <c r="I57" i="1" s="1"/>
  <c r="N57" i="1" l="1"/>
  <c r="G58" i="1"/>
  <c r="O57" i="1"/>
  <c r="B58" i="1" s="1"/>
  <c r="F58" i="1" l="1"/>
  <c r="H58" i="1" l="1"/>
  <c r="J58" i="1" s="1"/>
  <c r="M58" i="1" s="1"/>
  <c r="D58" i="1"/>
  <c r="E58" i="1" s="1"/>
  <c r="K58" i="1" l="1"/>
  <c r="I58" i="1" s="1"/>
  <c r="N58" i="1" l="1"/>
  <c r="G59" i="1"/>
  <c r="O58" i="1"/>
  <c r="B59" i="1" s="1"/>
  <c r="F59" i="1" l="1"/>
  <c r="H59" i="1" l="1"/>
  <c r="J59" i="1" s="1"/>
  <c r="M59" i="1" s="1"/>
  <c r="D59" i="1"/>
  <c r="E59" i="1" s="1"/>
  <c r="K59" i="1" l="1"/>
  <c r="I59" i="1" s="1"/>
  <c r="N59" i="1" l="1"/>
  <c r="G60" i="1"/>
  <c r="O59" i="1"/>
  <c r="B60" i="1" s="1"/>
  <c r="F60" i="1" l="1"/>
  <c r="H60" i="1" l="1"/>
  <c r="J60" i="1" s="1"/>
  <c r="M60" i="1" s="1"/>
  <c r="D60" i="1"/>
  <c r="E60" i="1" s="1"/>
  <c r="K60" i="1" l="1"/>
  <c r="I60" i="1" s="1"/>
  <c r="N60" i="1" l="1"/>
  <c r="G61" i="1"/>
  <c r="O60" i="1"/>
  <c r="B61" i="1" s="1"/>
  <c r="F61" i="1" l="1"/>
  <c r="H61" i="1" l="1"/>
  <c r="J61" i="1" s="1"/>
  <c r="M61" i="1" s="1"/>
  <c r="D61" i="1"/>
  <c r="E61" i="1" s="1"/>
  <c r="K61" i="1" l="1"/>
  <c r="I61" i="1" s="1"/>
  <c r="N61" i="1" l="1"/>
  <c r="G62" i="1"/>
  <c r="O61" i="1"/>
  <c r="B62" i="1" s="1"/>
  <c r="F62" i="1" l="1"/>
  <c r="H62" i="1" l="1"/>
  <c r="J62" i="1" s="1"/>
  <c r="M62" i="1" s="1"/>
  <c r="D62" i="1"/>
  <c r="E62" i="1" s="1"/>
  <c r="K62" i="1" l="1"/>
  <c r="I62" i="1" s="1"/>
  <c r="N62" i="1" l="1"/>
  <c r="G63" i="1"/>
  <c r="O62" i="1"/>
  <c r="B63" i="1" s="1"/>
  <c r="F63" i="1" l="1"/>
  <c r="D63" i="1" l="1"/>
  <c r="E63" i="1" s="1"/>
  <c r="H63" i="1"/>
  <c r="J63" i="1" s="1"/>
  <c r="M63" i="1" s="1"/>
  <c r="K63" i="1" l="1"/>
  <c r="I63" i="1" s="1"/>
  <c r="N63" i="1"/>
  <c r="G64" i="1" l="1"/>
  <c r="O63" i="1"/>
  <c r="B64" i="1" s="1"/>
  <c r="F64" i="1" l="1"/>
  <c r="H64" i="1" l="1"/>
  <c r="J64" i="1" s="1"/>
  <c r="M64" i="1" s="1"/>
  <c r="D64" i="1"/>
  <c r="E64" i="1" s="1"/>
  <c r="K64" i="1" l="1"/>
  <c r="I64" i="1" s="1"/>
  <c r="N64" i="1"/>
  <c r="G65" i="1" l="1"/>
  <c r="O64" i="1"/>
  <c r="B65" i="1" s="1"/>
  <c r="F65" i="1" l="1"/>
  <c r="H65" i="1" l="1"/>
  <c r="J65" i="1" s="1"/>
  <c r="M65" i="1" s="1"/>
  <c r="D65" i="1"/>
  <c r="E65" i="1" s="1"/>
  <c r="K65" i="1" l="1"/>
  <c r="I65" i="1" s="1"/>
  <c r="N65" i="1" l="1"/>
  <c r="G66" i="1"/>
  <c r="O65" i="1"/>
  <c r="B66" i="1" s="1"/>
  <c r="F66" i="1" l="1"/>
  <c r="H66" i="1" l="1"/>
  <c r="J66" i="1" s="1"/>
  <c r="M66" i="1" s="1"/>
  <c r="D66" i="1"/>
  <c r="E66" i="1" s="1"/>
  <c r="K66" i="1" l="1"/>
  <c r="I66" i="1" s="1"/>
  <c r="N66" i="1"/>
  <c r="G67" i="1" l="1"/>
  <c r="O66" i="1"/>
  <c r="B67" i="1" s="1"/>
  <c r="F67" i="1" l="1"/>
  <c r="D67" i="1" l="1"/>
  <c r="E67" i="1" s="1"/>
  <c r="H67" i="1"/>
  <c r="J67" i="1" s="1"/>
  <c r="M67" i="1" s="1"/>
  <c r="K67" i="1" l="1"/>
  <c r="I67" i="1" s="1"/>
  <c r="N67" i="1"/>
  <c r="G68" i="1" l="1"/>
  <c r="O67" i="1"/>
  <c r="B68" i="1" s="1"/>
  <c r="F68" i="1" l="1"/>
  <c r="H68" i="1" l="1"/>
  <c r="J68" i="1" s="1"/>
  <c r="M68" i="1" s="1"/>
  <c r="D68" i="1"/>
  <c r="E68" i="1" s="1"/>
  <c r="K68" i="1" l="1"/>
  <c r="I68" i="1" s="1"/>
  <c r="N68" i="1" l="1"/>
  <c r="G69" i="1"/>
  <c r="O68" i="1"/>
  <c r="B69" i="1" s="1"/>
  <c r="F69" i="1" l="1"/>
  <c r="H69" i="1" l="1"/>
  <c r="J69" i="1" s="1"/>
  <c r="M69" i="1" s="1"/>
  <c r="D69" i="1"/>
  <c r="E69" i="1" s="1"/>
  <c r="K69" i="1" l="1"/>
  <c r="I69" i="1" s="1"/>
  <c r="N69" i="1" l="1"/>
  <c r="G70" i="1"/>
  <c r="O69" i="1"/>
  <c r="B70" i="1" s="1"/>
  <c r="F70" i="1" l="1"/>
  <c r="H70" i="1" l="1"/>
  <c r="J70" i="1" s="1"/>
  <c r="M70" i="1" s="1"/>
  <c r="D70" i="1"/>
  <c r="E70" i="1" s="1"/>
  <c r="K70" i="1" l="1"/>
  <c r="I70" i="1" s="1"/>
  <c r="N70" i="1"/>
  <c r="G71" i="1" l="1"/>
  <c r="O70" i="1"/>
  <c r="B71" i="1" s="1"/>
  <c r="F71" i="1" l="1"/>
  <c r="D71" i="1" l="1"/>
  <c r="E71" i="1" s="1"/>
  <c r="H71" i="1"/>
  <c r="J71" i="1" s="1"/>
  <c r="M71" i="1" s="1"/>
  <c r="K71" i="1" l="1"/>
  <c r="I71" i="1" s="1"/>
  <c r="N71" i="1"/>
  <c r="G72" i="1" l="1"/>
  <c r="O71" i="1"/>
  <c r="B72" i="1" s="1"/>
  <c r="F72" i="1" l="1"/>
  <c r="H72" i="1" l="1"/>
  <c r="J72" i="1" s="1"/>
  <c r="M72" i="1" s="1"/>
  <c r="D72" i="1"/>
  <c r="E72" i="1" s="1"/>
  <c r="K72" i="1" l="1"/>
  <c r="I72" i="1" s="1"/>
  <c r="N72" i="1" l="1"/>
  <c r="G73" i="1"/>
  <c r="O72" i="1"/>
  <c r="B73" i="1" s="1"/>
  <c r="F73" i="1" l="1"/>
  <c r="H73" i="1" l="1"/>
  <c r="J73" i="1" s="1"/>
  <c r="M73" i="1" s="1"/>
  <c r="D73" i="1"/>
  <c r="E73" i="1" s="1"/>
  <c r="K73" i="1" l="1"/>
  <c r="I73" i="1" s="1"/>
  <c r="N73" i="1" l="1"/>
  <c r="G74" i="1"/>
  <c r="O73" i="1"/>
  <c r="B74" i="1" s="1"/>
  <c r="F74" i="1" l="1"/>
  <c r="H74" i="1" l="1"/>
  <c r="J74" i="1" s="1"/>
  <c r="M74" i="1" s="1"/>
  <c r="D74" i="1"/>
  <c r="E74" i="1" s="1"/>
  <c r="K74" i="1" l="1"/>
  <c r="I74" i="1" s="1"/>
  <c r="N74" i="1" l="1"/>
  <c r="G75" i="1"/>
  <c r="O74" i="1"/>
  <c r="B75" i="1" s="1"/>
  <c r="F75" i="1" l="1"/>
  <c r="D75" i="1" l="1"/>
  <c r="E75" i="1" s="1"/>
  <c r="H75" i="1"/>
  <c r="J75" i="1" s="1"/>
  <c r="M75" i="1" s="1"/>
  <c r="K75" i="1" l="1"/>
  <c r="I75" i="1" s="1"/>
  <c r="N75" i="1" l="1"/>
  <c r="G76" i="1"/>
  <c r="O75" i="1"/>
  <c r="B76" i="1" s="1"/>
  <c r="F76" i="1" l="1"/>
  <c r="H76" i="1" l="1"/>
  <c r="J76" i="1" s="1"/>
  <c r="M76" i="1" s="1"/>
  <c r="D76" i="1"/>
  <c r="E76" i="1" s="1"/>
  <c r="K76" i="1" l="1"/>
  <c r="I76" i="1" s="1"/>
  <c r="G77" i="1" s="1"/>
  <c r="N76" i="1" l="1"/>
  <c r="O76" i="1"/>
  <c r="B77" i="1" s="1"/>
  <c r="F77" i="1" l="1"/>
  <c r="H77" i="1" l="1"/>
  <c r="J77" i="1" s="1"/>
  <c r="M77" i="1" s="1"/>
  <c r="D77" i="1"/>
  <c r="E77" i="1" s="1"/>
  <c r="K77" i="1" l="1"/>
  <c r="I77" i="1" s="1"/>
  <c r="G78" i="1" s="1"/>
  <c r="N77" i="1" l="1"/>
  <c r="O77" i="1"/>
  <c r="B78" i="1" s="1"/>
  <c r="F78" i="1" l="1"/>
  <c r="H78" i="1" l="1"/>
  <c r="J78" i="1" s="1"/>
  <c r="M78" i="1" s="1"/>
  <c r="D78" i="1"/>
  <c r="E78" i="1" s="1"/>
  <c r="K78" i="1" l="1"/>
  <c r="I78" i="1" s="1"/>
  <c r="G79" i="1" s="1"/>
  <c r="N78" i="1" l="1"/>
  <c r="O78" i="1"/>
  <c r="B79" i="1" s="1"/>
  <c r="F79" i="1" l="1"/>
  <c r="H79" i="1" l="1"/>
  <c r="J79" i="1" s="1"/>
  <c r="M79" i="1" s="1"/>
  <c r="D79" i="1"/>
  <c r="E79" i="1" s="1"/>
  <c r="K79" i="1" l="1"/>
  <c r="I79" i="1" s="1"/>
  <c r="G80" i="1" s="1"/>
  <c r="N79" i="1" l="1"/>
  <c r="O79" i="1"/>
  <c r="B80" i="1" s="1"/>
  <c r="F80" i="1" l="1"/>
  <c r="D80" i="1" l="1"/>
  <c r="E80" i="1" s="1"/>
  <c r="H80" i="1"/>
  <c r="J80" i="1" s="1"/>
  <c r="M80" i="1" s="1"/>
  <c r="K80" i="1" l="1"/>
  <c r="N80" i="1"/>
  <c r="I80" i="1" l="1"/>
  <c r="G81" i="1" s="1"/>
  <c r="O80" i="1" l="1"/>
  <c r="B81" i="1" s="1"/>
  <c r="F81" i="1" l="1"/>
  <c r="H81" i="1" l="1"/>
  <c r="D81" i="1"/>
  <c r="E81" i="1" s="1"/>
  <c r="J81" i="1" l="1"/>
  <c r="M81" i="1" s="1"/>
  <c r="K81" i="1" l="1"/>
  <c r="I81" i="1" s="1"/>
  <c r="N81" i="1"/>
  <c r="O81" i="1" l="1"/>
  <c r="B82" i="1" s="1"/>
  <c r="G82" i="1"/>
  <c r="F82" i="1" l="1"/>
  <c r="H82" i="1" l="1"/>
  <c r="J82" i="1" s="1"/>
  <c r="D82" i="1"/>
  <c r="E82" i="1" s="1"/>
  <c r="K82" i="1" l="1"/>
  <c r="I82" i="1" s="1"/>
  <c r="M82" i="1"/>
  <c r="N82" i="1"/>
  <c r="G83" i="1"/>
  <c r="O82" i="1" l="1"/>
  <c r="B83" i="1" s="1"/>
  <c r="F83" i="1"/>
  <c r="H83" i="1" l="1"/>
  <c r="D83" i="1"/>
  <c r="E83" i="1" s="1"/>
  <c r="J83" i="1" l="1"/>
  <c r="M83" i="1" s="1"/>
  <c r="K83" i="1" l="1"/>
  <c r="I83" i="1" s="1"/>
  <c r="N83" i="1"/>
  <c r="O83" i="1" l="1"/>
  <c r="B84" i="1" s="1"/>
  <c r="G84" i="1"/>
  <c r="F84" i="1" l="1"/>
  <c r="D84" i="1" l="1"/>
  <c r="E84" i="1" s="1"/>
  <c r="H84" i="1"/>
  <c r="J84" i="1" s="1"/>
  <c r="K84" i="1" l="1"/>
  <c r="I84" i="1" s="1"/>
  <c r="M84" i="1"/>
  <c r="G85" i="1"/>
  <c r="N84" i="1"/>
  <c r="O84" i="1" l="1"/>
  <c r="B85" i="1" s="1"/>
  <c r="F85" i="1" l="1"/>
  <c r="H85" i="1"/>
  <c r="D85" i="1"/>
  <c r="E85" i="1" s="1"/>
  <c r="J85" i="1" l="1"/>
  <c r="M85" i="1" s="1"/>
  <c r="K85" i="1" l="1"/>
  <c r="N85" i="1" s="1"/>
  <c r="I85" i="1" l="1"/>
  <c r="G86" i="1" s="1"/>
  <c r="O85" i="1" l="1"/>
  <c r="B86" i="1" s="1"/>
  <c r="F86" i="1" l="1"/>
  <c r="H86" i="1" l="1"/>
  <c r="D86" i="1"/>
  <c r="E86" i="1" s="1"/>
  <c r="J86" i="1"/>
  <c r="K86" i="1" l="1"/>
  <c r="I86" i="1" s="1"/>
  <c r="M86" i="1"/>
  <c r="O86" i="1" s="1"/>
  <c r="B87" i="1" s="1"/>
  <c r="G87" i="1"/>
  <c r="N86" i="1" l="1"/>
  <c r="F87" i="1"/>
  <c r="H87" i="1" l="1"/>
  <c r="D87" i="1"/>
  <c r="E87" i="1" s="1"/>
  <c r="J87" i="1"/>
  <c r="K87" i="1" l="1"/>
  <c r="M87" i="1"/>
  <c r="N87" i="1" s="1"/>
  <c r="I87" i="1"/>
  <c r="O87" i="1" l="1"/>
  <c r="B88" i="1" s="1"/>
  <c r="G88" i="1"/>
  <c r="F88" i="1" l="1"/>
  <c r="H88" i="1" l="1"/>
  <c r="J88" i="1" s="1"/>
  <c r="M88" i="1" s="1"/>
  <c r="D88" i="1"/>
  <c r="E88" i="1" s="1"/>
  <c r="K88" i="1" l="1"/>
  <c r="I88" i="1" s="1"/>
  <c r="G89" i="1" s="1"/>
  <c r="O88" i="1"/>
  <c r="B89" i="1" s="1"/>
  <c r="N88" i="1" l="1"/>
  <c r="F89" i="1"/>
  <c r="D89" i="1" l="1"/>
  <c r="E89" i="1" s="1"/>
  <c r="H89" i="1"/>
  <c r="J89" i="1" s="1"/>
  <c r="K89" i="1" l="1"/>
  <c r="I89" i="1" s="1"/>
  <c r="M89" i="1"/>
  <c r="N89" i="1" s="1"/>
  <c r="G90" i="1"/>
  <c r="O89" i="1" l="1"/>
  <c r="B90" i="1" s="1"/>
  <c r="D115" i="1"/>
  <c r="F90" i="1" l="1"/>
  <c r="D116" i="1"/>
  <c r="H90" i="1"/>
  <c r="D114" i="1" s="1"/>
  <c r="D90" i="1"/>
  <c r="E90" i="1" s="1"/>
  <c r="E115" i="1"/>
  <c r="J90" i="1" l="1"/>
  <c r="M90" i="1" s="1"/>
  <c r="D117" i="1" s="1"/>
  <c r="E117" i="1" s="1"/>
  <c r="E114" i="1"/>
  <c r="E116" i="1"/>
  <c r="D113" i="1" l="1"/>
  <c r="K90" i="1"/>
  <c r="N90" i="1"/>
  <c r="D118" i="1" s="1"/>
  <c r="E118" i="1" s="1"/>
  <c r="I90" i="1"/>
  <c r="D112" i="1"/>
  <c r="E113" i="1"/>
  <c r="D122" i="1"/>
  <c r="E112" i="1" l="1"/>
  <c r="O90" i="1"/>
  <c r="D119" i="1"/>
  <c r="E119" i="1" l="1"/>
  <c r="E122" i="1"/>
  <c r="D121" i="1"/>
  <c r="G120" i="1" l="1"/>
  <c r="G117" i="1"/>
  <c r="H120" i="1"/>
  <c r="I120" i="1" s="1"/>
  <c r="H117" i="1"/>
  <c r="I117" i="1" s="1"/>
  <c r="G118" i="1"/>
  <c r="G115" i="1"/>
  <c r="H115" i="1"/>
  <c r="I115" i="1" s="1"/>
  <c r="H116" i="1"/>
  <c r="I116" i="1" s="1"/>
  <c r="G114" i="1"/>
  <c r="H114" i="1"/>
  <c r="I114" i="1" s="1"/>
  <c r="G116" i="1"/>
  <c r="H113" i="1"/>
  <c r="I113" i="1" s="1"/>
  <c r="G113" i="1"/>
  <c r="G112" i="1"/>
  <c r="H112" i="1"/>
  <c r="G119" i="1"/>
  <c r="E121" i="1"/>
  <c r="F119" i="1"/>
  <c r="H119" i="1"/>
  <c r="I119" i="1" s="1"/>
  <c r="I112" i="1" l="1"/>
  <c r="I121" i="1" s="1"/>
  <c r="H121" i="1"/>
  <c r="G121" i="1"/>
  <c r="F117" i="1"/>
  <c r="F120" i="1"/>
  <c r="F118" i="1"/>
  <c r="F115" i="1"/>
  <c r="F116" i="1"/>
  <c r="F114" i="1"/>
  <c r="F113" i="1"/>
  <c r="F112" i="1"/>
  <c r="F121" i="1" l="1"/>
</calcChain>
</file>

<file path=xl/comments1.xml><?xml version="1.0" encoding="utf-8"?>
<comments xmlns="http://schemas.openxmlformats.org/spreadsheetml/2006/main">
  <authors>
    <author>Microsoft Office User</author>
    <author>Надежда</author>
  </authors>
  <commentList>
    <comment ref="F4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2</t>
        </r>
      </text>
    </comment>
    <comment ref="G4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4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I41" authorId="1" shapeId="0">
      <text>
        <r>
          <rPr>
            <b/>
            <sz val="9"/>
            <color indexed="81"/>
            <rFont val="Tahoma"/>
            <charset val="1"/>
          </rPr>
          <t>Надежда:</t>
        </r>
        <r>
          <rPr>
            <sz val="9"/>
            <color indexed="81"/>
            <rFont val="Tahoma"/>
            <charset val="1"/>
          </rPr>
          <t xml:space="preserve">
7</t>
        </r>
      </text>
    </comment>
    <comment ref="J4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4</t>
        </r>
      </text>
    </comment>
    <comment ref="K4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L41" authorId="1" shapeId="0">
      <text>
        <r>
          <rPr>
            <b/>
            <sz val="9"/>
            <color indexed="81"/>
            <rFont val="Tahoma"/>
            <charset val="1"/>
          </rPr>
          <t>Надежда:</t>
        </r>
        <r>
          <rPr>
            <sz val="9"/>
            <color indexed="81"/>
            <rFont val="Tahoma"/>
            <charset val="1"/>
          </rPr>
          <t xml:space="preserve">
9</t>
        </r>
      </text>
    </comment>
    <comment ref="M4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6</t>
        </r>
      </text>
    </comment>
    <comment ref="N41" authorId="1" shapeId="0">
      <text>
        <r>
          <rPr>
            <b/>
            <sz val="9"/>
            <color indexed="81"/>
            <rFont val="Tahoma"/>
            <charset val="1"/>
          </rPr>
          <t>Надежда:</t>
        </r>
        <r>
          <rPr>
            <sz val="9"/>
            <color indexed="81"/>
            <rFont val="Tahoma"/>
            <charset val="1"/>
          </rPr>
          <t xml:space="preserve">
8</t>
        </r>
      </text>
    </comment>
    <comment ref="O4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10</t>
        </r>
      </text>
    </comment>
    <comment ref="G4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4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4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4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4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4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4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4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4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4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4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4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4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4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4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4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4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4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4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4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4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4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4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4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4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4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4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4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4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4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4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4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4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4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4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4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4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4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4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4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5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5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5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5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5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5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5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5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5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5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5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5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5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5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5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5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5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5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5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5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5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5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5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5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5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5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5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5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5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5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5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5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5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5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5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5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5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5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5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5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5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5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5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5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5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5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5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5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5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5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6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6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6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6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6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6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6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6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6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6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6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6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6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6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6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6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6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6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6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6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6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6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6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6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6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6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6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6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6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6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6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6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6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6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6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6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6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6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6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6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6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6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6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6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6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6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6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6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6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6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7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7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7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7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7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7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7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7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7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7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7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7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7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7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7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7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7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7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7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7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7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7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7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7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7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7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7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7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7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7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7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7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7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7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7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7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7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7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7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7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7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7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7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7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7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7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7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7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7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7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8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8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8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8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8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8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8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8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8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81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8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8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8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8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82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8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8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8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8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83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8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8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8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8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84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8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8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8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8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85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8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8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8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8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86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8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8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8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8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87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8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8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8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8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88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8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8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8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8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89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  <comment ref="G9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1</t>
        </r>
      </text>
    </comment>
    <comment ref="H9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3</t>
        </r>
      </text>
    </comment>
    <comment ref="K9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5</t>
        </r>
      </text>
    </comment>
    <comment ref="M9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6</t>
        </r>
      </text>
    </comment>
    <comment ref="O90" authorId="0" shapeId="0">
      <text>
        <r>
          <rPr>
            <b/>
            <sz val="10"/>
            <color rgb="FF000000"/>
            <rFont val="Tahoma"/>
            <family val="2"/>
            <charset val="204"/>
          </rPr>
          <t>Microsoft Office User: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>9</t>
        </r>
      </text>
    </comment>
  </commentList>
</comments>
</file>

<file path=xl/sharedStrings.xml><?xml version="1.0" encoding="utf-8"?>
<sst xmlns="http://schemas.openxmlformats.org/spreadsheetml/2006/main" count="369" uniqueCount="181">
  <si>
    <t>Температура</t>
  </si>
  <si>
    <t>T, K</t>
  </si>
  <si>
    <t>t, C</t>
  </si>
  <si>
    <t>Давление</t>
  </si>
  <si>
    <t>N2</t>
  </si>
  <si>
    <t>O2</t>
  </si>
  <si>
    <t>CO2</t>
  </si>
  <si>
    <t>CO</t>
  </si>
  <si>
    <t>H2</t>
  </si>
  <si>
    <t>метан</t>
  </si>
  <si>
    <t>пропан</t>
  </si>
  <si>
    <t>природный газ</t>
  </si>
  <si>
    <t>Н2О(г)</t>
  </si>
  <si>
    <t>СН4</t>
  </si>
  <si>
    <t>Графит</t>
  </si>
  <si>
    <t>С</t>
  </si>
  <si>
    <t>dH(0, 298)</t>
  </si>
  <si>
    <t>dG(0, 298)</t>
  </si>
  <si>
    <t>S(0), Дж/мольК</t>
  </si>
  <si>
    <t>dH(сг), кДж/моль</t>
  </si>
  <si>
    <t>С(графит)</t>
  </si>
  <si>
    <t>СО(г)</t>
  </si>
  <si>
    <t>СО2(г)</t>
  </si>
  <si>
    <t>Н2О(ж)</t>
  </si>
  <si>
    <t>СН4(г)</t>
  </si>
  <si>
    <t>С2Н6(г)</t>
  </si>
  <si>
    <t>С3Н8(г)</t>
  </si>
  <si>
    <t>dH(1, T)</t>
  </si>
  <si>
    <t>S(p,T), Дж/мольК</t>
  </si>
  <si>
    <t>dHr(0, 298)</t>
  </si>
  <si>
    <t>dHr(1, Т)</t>
  </si>
  <si>
    <t>dHr(0, 298), расч</t>
  </si>
  <si>
    <t>СН4=С+2Н2</t>
  </si>
  <si>
    <t>2СО=С+СО2</t>
  </si>
  <si>
    <t>СН4+СО2=2СО+2Н2</t>
  </si>
  <si>
    <t>СО+0,5О2=СО2</t>
  </si>
  <si>
    <t>СН4+0,5О2=СО+2Н2</t>
  </si>
  <si>
    <t>К(p, T)</t>
  </si>
  <si>
    <t>K(RB)</t>
  </si>
  <si>
    <t>K(CO2)</t>
  </si>
  <si>
    <t>NCH4</t>
  </si>
  <si>
    <t>NH2</t>
  </si>
  <si>
    <t>NH2O</t>
  </si>
  <si>
    <t>NCO2</t>
  </si>
  <si>
    <t>NCO</t>
  </si>
  <si>
    <t>NO2</t>
  </si>
  <si>
    <t>NN2</t>
  </si>
  <si>
    <t>NC</t>
  </si>
  <si>
    <t>Компонент</t>
  </si>
  <si>
    <t>Масса компонентов, г</t>
  </si>
  <si>
    <t>Масс. %</t>
  </si>
  <si>
    <t>Парциальное давление (р), бар</t>
  </si>
  <si>
    <t>a</t>
  </si>
  <si>
    <t>СО2</t>
  </si>
  <si>
    <t xml:space="preserve">b </t>
  </si>
  <si>
    <t>СО</t>
  </si>
  <si>
    <t xml:space="preserve">c </t>
  </si>
  <si>
    <t>Н2О</t>
  </si>
  <si>
    <t>d</t>
  </si>
  <si>
    <t>Н2</t>
  </si>
  <si>
    <t>е</t>
  </si>
  <si>
    <t>p, бар</t>
  </si>
  <si>
    <t>Кол. молей (N)</t>
  </si>
  <si>
    <t>Сумма</t>
  </si>
  <si>
    <t>C</t>
  </si>
  <si>
    <t>1. Продукты парового риформинга метана</t>
  </si>
  <si>
    <t>а(Н2О)=3</t>
  </si>
  <si>
    <t>р=1 бар</t>
  </si>
  <si>
    <t>t, С</t>
  </si>
  <si>
    <t>а(О2)=0</t>
  </si>
  <si>
    <t>О2</t>
  </si>
  <si>
    <t>а(Н2О)=1,1</t>
  </si>
  <si>
    <t>а(Н2О)=2,0</t>
  </si>
  <si>
    <t>р=3 бар</t>
  </si>
  <si>
    <t>а(Н2О)=1,5</t>
  </si>
  <si>
    <t>кислород</t>
  </si>
  <si>
    <t>воздух</t>
  </si>
  <si>
    <t>D</t>
  </si>
  <si>
    <t>Мольная доля</t>
  </si>
  <si>
    <t>b</t>
  </si>
  <si>
    <t>c</t>
  </si>
  <si>
    <t xml:space="preserve">Парциальное давление при р (р), бар </t>
  </si>
  <si>
    <t>SumN(gas)</t>
  </si>
  <si>
    <t>мольная доля</t>
  </si>
  <si>
    <t>а(Н2О)=2,5</t>
  </si>
  <si>
    <t>а(Н2О)=0,5</t>
  </si>
  <si>
    <t>р=2 бар</t>
  </si>
  <si>
    <t>а(О2)=0,25</t>
  </si>
  <si>
    <t> кислород</t>
  </si>
  <si>
    <t> воздух</t>
  </si>
  <si>
    <t>р=0,5 бар</t>
  </si>
  <si>
    <t>96% СН4</t>
  </si>
  <si>
    <t>№ итерации</t>
  </si>
  <si>
    <t>С3Н8</t>
  </si>
  <si>
    <t>моль/моль</t>
  </si>
  <si>
    <t>ср(Т),Дж/моль*K</t>
  </si>
  <si>
    <t>ср(Т),кДж/кг*K</t>
  </si>
  <si>
    <t>ср(298),кДж/кг*К</t>
  </si>
  <si>
    <t>р, бар</t>
  </si>
  <si>
    <t>р, Па</t>
  </si>
  <si>
    <t>Литерат</t>
  </si>
  <si>
    <t>Рвсчет</t>
  </si>
  <si>
    <t>K(Ox,СН4)</t>
  </si>
  <si>
    <t>K(Ox,CO)</t>
  </si>
  <si>
    <t xml:space="preserve">БЛОК 1. РАСЧЕТ ТЕРМОДИНАМИЧЕСКИХ КОНСТАНТ </t>
  </si>
  <si>
    <t>Термодинамические константы реагентов</t>
  </si>
  <si>
    <t>Удельные теплоемкости реагентов (ср(Т))</t>
  </si>
  <si>
    <t>этан</t>
  </si>
  <si>
    <t>С(т)</t>
  </si>
  <si>
    <t>Природный газ</t>
  </si>
  <si>
    <t>Корни квадратичного уравнения</t>
  </si>
  <si>
    <t>Qr, кДж/моль у/в С</t>
  </si>
  <si>
    <t>Энтальпии и константы равновесия реакций, кДж/моль</t>
  </si>
  <si>
    <t>К(Ox,Н2)</t>
  </si>
  <si>
    <t>Н2+0,5О2=Н2О(г)</t>
  </si>
  <si>
    <t>СН4+Н2О(г)=СО+3Н2</t>
  </si>
  <si>
    <t>СО+Н2О=СО2+Н2</t>
  </si>
  <si>
    <t>СН4+2Н2О(г)=СО2+4Н2</t>
  </si>
  <si>
    <t>CO+H2=C+H2O(г)</t>
  </si>
  <si>
    <t>K(d,СН4)</t>
  </si>
  <si>
    <t>K(d,СО)</t>
  </si>
  <si>
    <t>dGr(p,Т)</t>
  </si>
  <si>
    <t>dS(p,T), расч</t>
  </si>
  <si>
    <t>K(d,CH4)/K(d,CO)</t>
  </si>
  <si>
    <t>K(RB)/K(d,CO)</t>
  </si>
  <si>
    <t>K(d,CH4)/K(RB)</t>
  </si>
  <si>
    <t>БЛОК 2. ВЫЧИСЛИТЕЛЬНЫЙ БЛОК</t>
  </si>
  <si>
    <t>Коэф-т скорости схождения</t>
  </si>
  <si>
    <t>а(СО2)</t>
  </si>
  <si>
    <t>Тепловой эффект процесса</t>
  </si>
  <si>
    <t>Сумм(N)</t>
  </si>
  <si>
    <t>Q, кДж/моль С</t>
  </si>
  <si>
    <t>Н2/СО, моль/моль</t>
  </si>
  <si>
    <t>Паровой риформинг</t>
  </si>
  <si>
    <t>2. Продукты парового риформинга метана при высоком давлении</t>
  </si>
  <si>
    <t>р=20 бар</t>
  </si>
  <si>
    <t>н-бутан</t>
  </si>
  <si>
    <t>н-С4Н10(г)</t>
  </si>
  <si>
    <t xml:space="preserve"> </t>
  </si>
  <si>
    <t>С3Н8+3Н2О(г)=3СО+7Н2</t>
  </si>
  <si>
    <t>С3Н8+6Н2О=3СО2+10Н2</t>
  </si>
  <si>
    <t>К(I,С3,Н2О)*K(II,H2O)^3</t>
  </si>
  <si>
    <t>Сумм</t>
  </si>
  <si>
    <t>NC3H8</t>
  </si>
  <si>
    <t>моль (об. (моль) доля)</t>
  </si>
  <si>
    <t>Моль отн Н2О/у/вС, а(Н2О)</t>
  </si>
  <si>
    <t>Моль отн О2/у/вС, а(О2)</t>
  </si>
  <si>
    <t>K(I,СН4)</t>
  </si>
  <si>
    <t>K(СO)</t>
  </si>
  <si>
    <t>K(II,СН4)</t>
  </si>
  <si>
    <t>К(I,С3)</t>
  </si>
  <si>
    <t>К(II,С3)</t>
  </si>
  <si>
    <t>K(I)*K(СО)</t>
  </si>
  <si>
    <t>K^0,3333</t>
  </si>
  <si>
    <t>Реагенты и пропорции</t>
  </si>
  <si>
    <t>Режим процесса</t>
  </si>
  <si>
    <t>Состав исх газа</t>
  </si>
  <si>
    <t>Коэффициент</t>
  </si>
  <si>
    <t>f</t>
  </si>
  <si>
    <t>C(т)</t>
  </si>
  <si>
    <t>БЛОК 3. ИСХОДНАЯ ГАЗОВАЯ СМЕСЬ</t>
  </si>
  <si>
    <t>Условия</t>
  </si>
  <si>
    <t>а(Н2О)</t>
  </si>
  <si>
    <t>а(О2)</t>
  </si>
  <si>
    <t>а(О/С)</t>
  </si>
  <si>
    <t>а(Н2О/С)</t>
  </si>
  <si>
    <t>Парциальное давление (рi) при 1 бар, бар</t>
  </si>
  <si>
    <t xml:space="preserve">Парциальное давление при р (рi), бар </t>
  </si>
  <si>
    <t>Состав исходной смеси</t>
  </si>
  <si>
    <t xml:space="preserve">Сумм </t>
  </si>
  <si>
    <t>БЛОК 4. РАВНОВЕСНАЯ СМЕСЬ (р, Т - const)</t>
  </si>
  <si>
    <t>Q, кДж/моль у/вС</t>
  </si>
  <si>
    <t>Старый вариант программы</t>
  </si>
  <si>
    <t>Новый вариант 250224</t>
  </si>
  <si>
    <t>Моль отн СО2/у/вС, (а(СО2)</t>
  </si>
  <si>
    <t>Моль отн Н2О/С, (а(Н2О/С)</t>
  </si>
  <si>
    <t>Моль отн О/С, (а(О/С)</t>
  </si>
  <si>
    <t>УСЛОВИЯ ПРОЦЕССА</t>
  </si>
  <si>
    <t>ПРОГРАММА "КОНВЕРСИЯ УГЛЕВОДОРОДНЫХ ГАЗОВЫХ СМЕСЕЙ"</t>
  </si>
  <si>
    <t>Катализатор</t>
  </si>
  <si>
    <t>NIAP-03-1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</si>
</sst>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6"/>
      <color rgb="FFFF0000"/>
      <name val="Calibri"/>
      <family val="2"/>
      <charset val="204"/>
      <scheme val="minor"/>
    </font>
    <font>
      <b/>
      <sz val="20"/>
      <color rgb="FFFF0000"/>
      <name val="Calibri"/>
      <family val="2"/>
      <scheme val="minor"/>
    </font>
    <font>
      <sz val="10"/>
      <color rgb="FF000000"/>
      <name val="Tahoma"/>
      <family val="2"/>
      <charset val="204"/>
    </font>
    <font>
      <b/>
      <sz val="10"/>
      <color rgb="FF000000"/>
      <name val="Tahoma"/>
      <family val="2"/>
      <charset val="204"/>
    </font>
    <font>
      <b/>
      <sz val="14"/>
      <color rgb="FF0070C0"/>
      <name val="Calibri"/>
      <family val="2"/>
      <scheme val="minor"/>
    </font>
    <font>
      <sz val="14"/>
      <color rgb="FFFF0000"/>
      <name val="Calibri"/>
      <family val="2"/>
      <charset val="204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u/>
      <sz val="24"/>
      <color theme="1"/>
      <name val="Baloo Regular"/>
      <charset val="204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4" borderId="0" xfId="0" applyFill="1"/>
    <xf numFmtId="0" fontId="0" fillId="5" borderId="0" xfId="0" applyFill="1"/>
    <xf numFmtId="0" fontId="1" fillId="2" borderId="0" xfId="0" applyFont="1" applyFill="1"/>
    <xf numFmtId="0" fontId="4" fillId="2" borderId="0" xfId="0" applyFont="1" applyFill="1"/>
    <xf numFmtId="0" fontId="0" fillId="3" borderId="2" xfId="0" applyFill="1" applyBorder="1"/>
    <xf numFmtId="0" fontId="0" fillId="2" borderId="2" xfId="0" applyFill="1" applyBorder="1"/>
    <xf numFmtId="0" fontId="0" fillId="7" borderId="0" xfId="0" applyFill="1"/>
    <xf numFmtId="0" fontId="2" fillId="3" borderId="0" xfId="0" applyFont="1" applyFill="1"/>
    <xf numFmtId="0" fontId="3" fillId="3" borderId="0" xfId="0" applyFont="1" applyFill="1"/>
    <xf numFmtId="0" fontId="0" fillId="5" borderId="2" xfId="0" applyFill="1" applyBorder="1"/>
    <xf numFmtId="0" fontId="0" fillId="8" borderId="0" xfId="0" applyFill="1"/>
    <xf numFmtId="0" fontId="1" fillId="2" borderId="2" xfId="0" applyFont="1" applyFill="1" applyBorder="1"/>
    <xf numFmtId="0" fontId="0" fillId="0" borderId="2" xfId="0" applyBorder="1"/>
    <xf numFmtId="0" fontId="7" fillId="3" borderId="0" xfId="0" applyFont="1" applyFill="1"/>
    <xf numFmtId="0" fontId="3" fillId="5" borderId="0" xfId="0" applyFont="1" applyFill="1"/>
    <xf numFmtId="0" fontId="4" fillId="3" borderId="0" xfId="0" applyFont="1" applyFill="1"/>
    <xf numFmtId="0" fontId="9" fillId="3" borderId="0" xfId="0" applyFont="1" applyFill="1"/>
    <xf numFmtId="0" fontId="11" fillId="0" borderId="3" xfId="0" applyFont="1" applyBorder="1"/>
    <xf numFmtId="0" fontId="9" fillId="0" borderId="0" xfId="0" applyFont="1"/>
    <xf numFmtId="0" fontId="3" fillId="3" borderId="2" xfId="0" applyFont="1" applyFill="1" applyBorder="1"/>
    <xf numFmtId="0" fontId="1" fillId="3" borderId="2" xfId="0" applyFont="1" applyFill="1" applyBorder="1"/>
    <xf numFmtId="0" fontId="0" fillId="3" borderId="4" xfId="0" applyFill="1" applyBorder="1"/>
    <xf numFmtId="0" fontId="0" fillId="5" borderId="4" xfId="0" applyFill="1" applyBorder="1"/>
    <xf numFmtId="0" fontId="4" fillId="0" borderId="0" xfId="0" applyFont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5" xfId="0" applyFill="1" applyBorder="1"/>
    <xf numFmtId="0" fontId="0" fillId="3" borderId="9" xfId="0" applyFill="1" applyBorder="1"/>
    <xf numFmtId="0" fontId="1" fillId="3" borderId="10" xfId="0" applyFont="1" applyFill="1" applyBorder="1"/>
    <xf numFmtId="0" fontId="6" fillId="3" borderId="0" xfId="0" applyFont="1" applyFill="1"/>
    <xf numFmtId="0" fontId="5" fillId="3" borderId="0" xfId="0" applyFont="1" applyFill="1"/>
    <xf numFmtId="0" fontId="8" fillId="3" borderId="0" xfId="0" applyFont="1" applyFill="1"/>
    <xf numFmtId="0" fontId="11" fillId="0" borderId="3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9" borderId="11" xfId="0" applyFill="1" applyBorder="1"/>
    <xf numFmtId="0" fontId="0" fillId="9" borderId="12" xfId="0" applyFill="1" applyBorder="1"/>
    <xf numFmtId="0" fontId="13" fillId="9" borderId="12" xfId="0" applyFont="1" applyFill="1" applyBorder="1"/>
    <xf numFmtId="0" fontId="0" fillId="9" borderId="13" xfId="0" applyFill="1" applyBorder="1"/>
    <xf numFmtId="0" fontId="9" fillId="9" borderId="15" xfId="0" applyFont="1" applyFill="1" applyBorder="1"/>
    <xf numFmtId="0" fontId="9" fillId="9" borderId="14" xfId="0" applyFont="1" applyFill="1" applyBorder="1"/>
    <xf numFmtId="0" fontId="0" fillId="9" borderId="15" xfId="0" applyFill="1" applyBorder="1"/>
    <xf numFmtId="0" fontId="10" fillId="9" borderId="14" xfId="0" applyFont="1" applyFill="1" applyBorder="1"/>
    <xf numFmtId="0" fontId="12" fillId="9" borderId="14" xfId="0" applyFont="1" applyFill="1" applyBorder="1"/>
    <xf numFmtId="0" fontId="10" fillId="9" borderId="16" xfId="0" applyFont="1" applyFill="1" applyBorder="1"/>
    <xf numFmtId="0" fontId="0" fillId="9" borderId="17" xfId="0" applyFill="1" applyBorder="1"/>
    <xf numFmtId="0" fontId="11" fillId="9" borderId="17" xfId="0" applyFont="1" applyFill="1" applyBorder="1" applyAlignment="1">
      <alignment horizontal="center" vertical="center"/>
    </xf>
    <xf numFmtId="0" fontId="0" fillId="9" borderId="18" xfId="0" applyFill="1" applyBorder="1"/>
    <xf numFmtId="0" fontId="1" fillId="2" borderId="7" xfId="0" applyFont="1" applyFill="1" applyBorder="1"/>
    <xf numFmtId="0" fontId="0" fillId="3" borderId="19" xfId="0" applyFill="1" applyBorder="1"/>
    <xf numFmtId="0" fontId="1" fillId="2" borderId="19" xfId="0" applyFont="1" applyFill="1" applyBorder="1"/>
    <xf numFmtId="0" fontId="5" fillId="5" borderId="0" xfId="0" applyFont="1" applyFill="1"/>
    <xf numFmtId="0" fontId="1" fillId="3" borderId="19" xfId="0" applyFont="1" applyFill="1" applyBorder="1"/>
    <xf numFmtId="0" fontId="13" fillId="9" borderId="14" xfId="0" applyFont="1" applyFill="1" applyBorder="1"/>
    <xf numFmtId="0" fontId="1" fillId="7" borderId="0" xfId="0" applyFont="1" applyFill="1"/>
    <xf numFmtId="0" fontId="4" fillId="7" borderId="0" xfId="0" applyFont="1" applyFill="1"/>
    <xf numFmtId="0" fontId="4" fillId="5" borderId="0" xfId="0" applyFont="1" applyFill="1"/>
    <xf numFmtId="0" fontId="16" fillId="0" borderId="3" xfId="0" applyFont="1" applyBorder="1"/>
    <xf numFmtId="0" fontId="17" fillId="3" borderId="0" xfId="0" applyFont="1" applyFill="1"/>
    <xf numFmtId="0" fontId="2" fillId="0" borderId="0" xfId="0" applyFont="1"/>
    <xf numFmtId="0" fontId="0" fillId="3" borderId="20" xfId="0" applyFill="1" applyBorder="1" applyAlignment="1">
      <alignment wrapText="1"/>
    </xf>
    <xf numFmtId="0" fontId="0" fillId="3" borderId="20" xfId="0" applyFill="1" applyBorder="1"/>
    <xf numFmtId="0" fontId="1" fillId="2" borderId="20" xfId="0" applyFont="1" applyFill="1" applyBorder="1"/>
    <xf numFmtId="0" fontId="19" fillId="0" borderId="0" xfId="0" applyFont="1"/>
    <xf numFmtId="0" fontId="20" fillId="6" borderId="20" xfId="0" applyFont="1" applyFill="1" applyBorder="1"/>
    <xf numFmtId="0" fontId="0" fillId="3" borderId="21" xfId="0" applyFill="1" applyBorder="1"/>
    <xf numFmtId="0" fontId="0" fillId="5" borderId="21" xfId="0" applyFill="1" applyBorder="1"/>
    <xf numFmtId="0" fontId="0" fillId="2" borderId="21" xfId="0" applyFill="1" applyBorder="1"/>
    <xf numFmtId="0" fontId="0" fillId="2" borderId="7" xfId="0" applyFill="1" applyBorder="1"/>
    <xf numFmtId="0" fontId="9" fillId="2" borderId="3" xfId="0" applyFont="1" applyFill="1" applyBorder="1" applyAlignment="1">
      <alignment horizontal="center"/>
    </xf>
    <xf numFmtId="0" fontId="0" fillId="5" borderId="7" xfId="0" applyFill="1" applyBorder="1"/>
    <xf numFmtId="0" fontId="3" fillId="5" borderId="2" xfId="0" applyFont="1" applyFill="1" applyBorder="1"/>
    <xf numFmtId="0" fontId="1" fillId="5" borderId="2" xfId="0" applyFont="1" applyFill="1" applyBorder="1"/>
    <xf numFmtId="0" fontId="18" fillId="2" borderId="0" xfId="0" applyFont="1" applyFill="1"/>
    <xf numFmtId="0" fontId="0" fillId="10" borderId="0" xfId="0" applyFill="1"/>
    <xf numFmtId="0" fontId="0" fillId="3" borderId="2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0" fillId="3" borderId="1" xfId="0" applyFill="1" applyBorder="1"/>
    <xf numFmtId="0" fontId="1" fillId="3" borderId="22" xfId="0" applyFont="1" applyFill="1" applyBorder="1" applyAlignment="1">
      <alignment horizontal="center" vertical="center" wrapText="1"/>
    </xf>
    <xf numFmtId="0" fontId="0" fillId="3" borderId="23" xfId="0" applyFill="1" applyBorder="1" applyAlignment="1">
      <alignment horizontal="center" vertical="center" wrapText="1"/>
    </xf>
    <xf numFmtId="0" fontId="0" fillId="2" borderId="24" xfId="0" applyFill="1" applyBorder="1"/>
    <xf numFmtId="0" fontId="0" fillId="3" borderId="24" xfId="0" applyFill="1" applyBorder="1"/>
    <xf numFmtId="0" fontId="0" fillId="3" borderId="10" xfId="0" applyFill="1" applyBorder="1"/>
    <xf numFmtId="0" fontId="0" fillId="5" borderId="24" xfId="0" applyFill="1" applyBorder="1"/>
    <xf numFmtId="0" fontId="1" fillId="3" borderId="24" xfId="0" applyFont="1" applyFill="1" applyBorder="1"/>
    <xf numFmtId="0" fontId="1" fillId="2" borderId="25" xfId="0" applyFont="1" applyFill="1" applyBorder="1"/>
    <xf numFmtId="0" fontId="0" fillId="3" borderId="26" xfId="0" applyFill="1" applyBorder="1"/>
    <xf numFmtId="0" fontId="9" fillId="2" borderId="3" xfId="0" applyFont="1" applyFill="1" applyBorder="1" applyAlignment="1">
      <alignment horizontal="center" vertical="center"/>
    </xf>
    <xf numFmtId="0" fontId="4" fillId="11" borderId="0" xfId="0" applyFont="1" applyFill="1"/>
    <xf numFmtId="0" fontId="4" fillId="12" borderId="0" xfId="0" applyFont="1" applyFill="1"/>
    <xf numFmtId="14" fontId="1" fillId="0" borderId="0" xfId="0" applyNumberFormat="1" applyFont="1"/>
    <xf numFmtId="0" fontId="9" fillId="9" borderId="0" xfId="0" applyFont="1" applyFill="1" applyBorder="1"/>
    <xf numFmtId="0" fontId="13" fillId="9" borderId="0" xfId="0" applyFont="1" applyFill="1" applyBorder="1"/>
    <xf numFmtId="0" fontId="21" fillId="9" borderId="0" xfId="0" applyFont="1" applyFill="1" applyBorder="1"/>
    <xf numFmtId="0" fontId="9" fillId="2" borderId="0" xfId="0" applyFont="1" applyFill="1" applyBorder="1"/>
    <xf numFmtId="0" fontId="10" fillId="9" borderId="0" xfId="0" applyFont="1" applyFill="1" applyBorder="1"/>
    <xf numFmtId="0" fontId="11" fillId="9" borderId="0" xfId="0" applyFont="1" applyFill="1" applyBorder="1"/>
    <xf numFmtId="0" fontId="0" fillId="9" borderId="0" xfId="0" applyFill="1" applyBorder="1"/>
    <xf numFmtId="0" fontId="22" fillId="3" borderId="0" xfId="0" applyFont="1" applyFill="1"/>
    <xf numFmtId="0" fontId="11" fillId="0" borderId="3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Лист1!$F$39</c:f>
              <c:strCache>
                <c:ptCount val="1"/>
                <c:pt idx="0">
                  <c:v>NCH4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Лист1!$A$41:$A$70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Лист1!$F$41:$F$70</c:f>
              <c:numCache>
                <c:formatCode>General</c:formatCode>
                <c:ptCount val="30"/>
                <c:pt idx="0">
                  <c:v>12.506214270614706</c:v>
                </c:pt>
                <c:pt idx="1">
                  <c:v>0.80929208955198995</c:v>
                </c:pt>
                <c:pt idx="2">
                  <c:v>5.3615534849400674</c:v>
                </c:pt>
                <c:pt idx="3">
                  <c:v>0.92539288780197826</c:v>
                </c:pt>
                <c:pt idx="4">
                  <c:v>0.4552548601206402</c:v>
                </c:pt>
                <c:pt idx="5">
                  <c:v>0.28090703002878931</c:v>
                </c:pt>
                <c:pt idx="6">
                  <c:v>0.3082261083602002</c:v>
                </c:pt>
                <c:pt idx="7">
                  <c:v>0.28924771852091358</c:v>
                </c:pt>
                <c:pt idx="8">
                  <c:v>0.21826526188453349</c:v>
                </c:pt>
                <c:pt idx="9">
                  <c:v>0.22094137825835664</c:v>
                </c:pt>
                <c:pt idx="10">
                  <c:v>0.21944290094164087</c:v>
                </c:pt>
                <c:pt idx="11">
                  <c:v>0.21945299670371485</c:v>
                </c:pt>
                <c:pt idx="12">
                  <c:v>0.21941902585938186</c:v>
                </c:pt>
                <c:pt idx="13">
                  <c:v>0.21941804310012444</c:v>
                </c:pt>
                <c:pt idx="14">
                  <c:v>0.2194172294330263</c:v>
                </c:pt>
                <c:pt idx="15">
                  <c:v>0.21941717780184172</c:v>
                </c:pt>
                <c:pt idx="16">
                  <c:v>0.21941715730778899</c:v>
                </c:pt>
                <c:pt idx="17">
                  <c:v>0.21941715539135337</c:v>
                </c:pt>
                <c:pt idx="18">
                  <c:v>0.21941715485312646</c:v>
                </c:pt>
                <c:pt idx="19">
                  <c:v>0.21941715478995152</c:v>
                </c:pt>
                <c:pt idx="20">
                  <c:v>0.21941715477535681</c:v>
                </c:pt>
                <c:pt idx="21">
                  <c:v>0.21941715477338683</c:v>
                </c:pt>
                <c:pt idx="22">
                  <c:v>0.21941715477298193</c:v>
                </c:pt>
                <c:pt idx="23">
                  <c:v>0.21941715477292217</c:v>
                </c:pt>
                <c:pt idx="24">
                  <c:v>0.21941715477291088</c:v>
                </c:pt>
                <c:pt idx="25">
                  <c:v>0.21941715477290905</c:v>
                </c:pt>
                <c:pt idx="26">
                  <c:v>0.2194171547729088</c:v>
                </c:pt>
                <c:pt idx="27">
                  <c:v>0.21941715477290863</c:v>
                </c:pt>
                <c:pt idx="28">
                  <c:v>0.21941715477290868</c:v>
                </c:pt>
                <c:pt idx="29">
                  <c:v>0.21941715477290874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5-EF40-BC08-62E7BAADA948}"/>
            </c:ext>
          </c:extLst>
        </c:ser>
        <c:ser>
          <c:idx val="1"/>
          <c:order val="1"/>
          <c:tx>
            <c:strRef>
              <c:f>Лист1!$G$39</c:f>
              <c:strCache>
                <c:ptCount val="1"/>
                <c:pt idx="0">
                  <c:v>NH2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Лист1!$A$41:$A$90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Лист1!$G$41:$G$90</c:f>
              <c:numCache>
                <c:formatCode>General</c:formatCode>
                <c:ptCount val="50"/>
                <c:pt idx="0">
                  <c:v>0.85000000000000009</c:v>
                </c:pt>
                <c:pt idx="1">
                  <c:v>0.8063332543759989</c:v>
                </c:pt>
                <c:pt idx="2">
                  <c:v>0.68221967837274089</c:v>
                </c:pt>
                <c:pt idx="3">
                  <c:v>0.27699607205914717</c:v>
                </c:pt>
                <c:pt idx="4">
                  <c:v>0.18039371564474582</c:v>
                </c:pt>
                <c:pt idx="5">
                  <c:v>0.13900525306663042</c:v>
                </c:pt>
                <c:pt idx="6">
                  <c:v>0.14441456299620151</c:v>
                </c:pt>
                <c:pt idx="7">
                  <c:v>0.14004558869793371</c:v>
                </c:pt>
                <c:pt idx="8">
                  <c:v>0.12146851430144809</c:v>
                </c:pt>
                <c:pt idx="9">
                  <c:v>0.12174651513816268</c:v>
                </c:pt>
                <c:pt idx="10">
                  <c:v>0.12133959669887742</c:v>
                </c:pt>
                <c:pt idx="11">
                  <c:v>0.12133204485664298</c:v>
                </c:pt>
                <c:pt idx="12">
                  <c:v>0.12132245178534444</c:v>
                </c:pt>
                <c:pt idx="13">
                  <c:v>0.12132193584244817</c:v>
                </c:pt>
                <c:pt idx="14">
                  <c:v>0.12132169754017882</c:v>
                </c:pt>
                <c:pt idx="15">
                  <c:v>0.12132167719090833</c:v>
                </c:pt>
                <c:pt idx="16">
                  <c:v>0.12132167100169335</c:v>
                </c:pt>
                <c:pt idx="17">
                  <c:v>0.1213216703139207</c:v>
                </c:pt>
                <c:pt idx="18">
                  <c:v>0.12132167014747597</c:v>
                </c:pt>
                <c:pt idx="19">
                  <c:v>0.12132167012575944</c:v>
                </c:pt>
                <c:pt idx="20">
                  <c:v>0.12132167012116808</c:v>
                </c:pt>
                <c:pt idx="21">
                  <c:v>0.12132167012050613</c:v>
                </c:pt>
                <c:pt idx="22">
                  <c:v>0.12132167012037723</c:v>
                </c:pt>
                <c:pt idx="23">
                  <c:v>0.12132167012035744</c:v>
                </c:pt>
                <c:pt idx="24">
                  <c:v>0.1213216701203538</c:v>
                </c:pt>
                <c:pt idx="25">
                  <c:v>0.12132167012035321</c:v>
                </c:pt>
                <c:pt idx="26">
                  <c:v>0.12132167012035311</c:v>
                </c:pt>
                <c:pt idx="27">
                  <c:v>0.12132167012035308</c:v>
                </c:pt>
                <c:pt idx="28">
                  <c:v>0.1213216701203531</c:v>
                </c:pt>
                <c:pt idx="29">
                  <c:v>0.1213216701203531</c:v>
                </c:pt>
                <c:pt idx="30">
                  <c:v>0.12132167012035308</c:v>
                </c:pt>
                <c:pt idx="31">
                  <c:v>0.12132167012035308</c:v>
                </c:pt>
                <c:pt idx="32">
                  <c:v>0.12132167012035308</c:v>
                </c:pt>
                <c:pt idx="33">
                  <c:v>0.12132167012035308</c:v>
                </c:pt>
                <c:pt idx="34">
                  <c:v>0.12132167012035308</c:v>
                </c:pt>
                <c:pt idx="35">
                  <c:v>0.12132167012035308</c:v>
                </c:pt>
                <c:pt idx="36">
                  <c:v>0.12132167012035308</c:v>
                </c:pt>
                <c:pt idx="37">
                  <c:v>0.12132167012035308</c:v>
                </c:pt>
                <c:pt idx="38">
                  <c:v>0.12132167012035308</c:v>
                </c:pt>
                <c:pt idx="39">
                  <c:v>0.12132167012035308</c:v>
                </c:pt>
                <c:pt idx="40">
                  <c:v>0.12132167012035308</c:v>
                </c:pt>
                <c:pt idx="41">
                  <c:v>0.12132167012035308</c:v>
                </c:pt>
                <c:pt idx="42">
                  <c:v>0.12132167012035308</c:v>
                </c:pt>
                <c:pt idx="43">
                  <c:v>0.12132167012035308</c:v>
                </c:pt>
                <c:pt idx="44">
                  <c:v>0.12132167012035308</c:v>
                </c:pt>
                <c:pt idx="45">
                  <c:v>0.12132167012035308</c:v>
                </c:pt>
                <c:pt idx="46">
                  <c:v>0.12132167012035308</c:v>
                </c:pt>
                <c:pt idx="47">
                  <c:v>0.12132167012035308</c:v>
                </c:pt>
                <c:pt idx="48">
                  <c:v>0.12132167012035308</c:v>
                </c:pt>
                <c:pt idx="49">
                  <c:v>0.12132167012035308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5-EF40-BC08-62E7BAADA948}"/>
            </c:ext>
          </c:extLst>
        </c:ser>
        <c:ser>
          <c:idx val="2"/>
          <c:order val="2"/>
          <c:tx>
            <c:strRef>
              <c:f>Лист1!$H$39</c:f>
              <c:strCache>
                <c:ptCount val="1"/>
                <c:pt idx="0">
                  <c:v>NH2O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Лист1!$A$41:$A$90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Лист1!$H$41:$H$90</c:f>
              <c:numCache>
                <c:formatCode>General</c:formatCode>
                <c:ptCount val="50"/>
                <c:pt idx="0">
                  <c:v>0.2</c:v>
                </c:pt>
                <c:pt idx="1">
                  <c:v>-1.1249182694049811</c:v>
                </c:pt>
                <c:pt idx="2">
                  <c:v>-10.105326648252969</c:v>
                </c:pt>
                <c:pt idx="3">
                  <c:v>-0.82778187780103551</c:v>
                </c:pt>
                <c:pt idx="4">
                  <c:v>0.20909656303519703</c:v>
                </c:pt>
                <c:pt idx="5">
                  <c:v>0.59918068640316258</c:v>
                </c:pt>
                <c:pt idx="6">
                  <c:v>0.53913322007355757</c:v>
                </c:pt>
                <c:pt idx="7">
                  <c:v>0.58145897399040802</c:v>
                </c:pt>
                <c:pt idx="8">
                  <c:v>0.74200096192943588</c:v>
                </c:pt>
                <c:pt idx="9">
                  <c:v>0.73637072834387762</c:v>
                </c:pt>
                <c:pt idx="10">
                  <c:v>0.73977460141657692</c:v>
                </c:pt>
                <c:pt idx="11">
                  <c:v>0.7397619617346699</c:v>
                </c:pt>
                <c:pt idx="12">
                  <c:v>0.73983949649463421</c:v>
                </c:pt>
                <c:pt idx="13">
                  <c:v>0.73984197795604545</c:v>
                </c:pt>
                <c:pt idx="14">
                  <c:v>0.7398438435925111</c:v>
                </c:pt>
                <c:pt idx="15">
                  <c:v>0.7398439672041508</c:v>
                </c:pt>
                <c:pt idx="16">
                  <c:v>0.73984401438147129</c:v>
                </c:pt>
                <c:pt idx="17">
                  <c:v>0.73984401890211515</c:v>
                </c:pt>
                <c:pt idx="18">
                  <c:v>0.73984402014501371</c:v>
                </c:pt>
                <c:pt idx="19">
                  <c:v>0.73984402029308016</c:v>
                </c:pt>
                <c:pt idx="20">
                  <c:v>0.73984402032686081</c:v>
                </c:pt>
                <c:pt idx="21">
                  <c:v>0.73984402033146279</c:v>
                </c:pt>
                <c:pt idx="22">
                  <c:v>0.73984402033240149</c:v>
                </c:pt>
                <c:pt idx="23">
                  <c:v>0.73984402033254082</c:v>
                </c:pt>
                <c:pt idx="24">
                  <c:v>0.73984402033256702</c:v>
                </c:pt>
                <c:pt idx="25">
                  <c:v>0.73984402033257135</c:v>
                </c:pt>
                <c:pt idx="26">
                  <c:v>0.73984402033257191</c:v>
                </c:pt>
                <c:pt idx="27">
                  <c:v>0.73984402033257224</c:v>
                </c:pt>
                <c:pt idx="28">
                  <c:v>0.73984402033257213</c:v>
                </c:pt>
                <c:pt idx="29">
                  <c:v>0.73984402033257202</c:v>
                </c:pt>
                <c:pt idx="30">
                  <c:v>0.73984402033257213</c:v>
                </c:pt>
                <c:pt idx="31">
                  <c:v>0.73984402033257213</c:v>
                </c:pt>
                <c:pt idx="32">
                  <c:v>0.73984402033257213</c:v>
                </c:pt>
                <c:pt idx="33">
                  <c:v>0.73984402033257213</c:v>
                </c:pt>
                <c:pt idx="34">
                  <c:v>0.73984402033257213</c:v>
                </c:pt>
                <c:pt idx="35">
                  <c:v>0.73984402033257213</c:v>
                </c:pt>
                <c:pt idx="36">
                  <c:v>0.73984402033257213</c:v>
                </c:pt>
                <c:pt idx="37">
                  <c:v>0.73984402033257213</c:v>
                </c:pt>
                <c:pt idx="38">
                  <c:v>0.73984402033257213</c:v>
                </c:pt>
                <c:pt idx="39">
                  <c:v>0.73984402033257213</c:v>
                </c:pt>
                <c:pt idx="40">
                  <c:v>0.73984402033257213</c:v>
                </c:pt>
                <c:pt idx="41">
                  <c:v>0.73984402033257213</c:v>
                </c:pt>
                <c:pt idx="42">
                  <c:v>0.73984402033257213</c:v>
                </c:pt>
                <c:pt idx="43">
                  <c:v>0.73984402033257213</c:v>
                </c:pt>
                <c:pt idx="44">
                  <c:v>0.73984402033257213</c:v>
                </c:pt>
                <c:pt idx="45">
                  <c:v>0.73984402033257213</c:v>
                </c:pt>
                <c:pt idx="46">
                  <c:v>0.73984402033257213</c:v>
                </c:pt>
                <c:pt idx="47">
                  <c:v>0.73984402033257213</c:v>
                </c:pt>
                <c:pt idx="48">
                  <c:v>0.73984402033257213</c:v>
                </c:pt>
                <c:pt idx="49">
                  <c:v>0.73984402033257213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5-EF40-BC08-62E7BAADA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935008"/>
        <c:axId val="1615922480"/>
      </c:scatterChart>
      <c:valAx>
        <c:axId val="2125935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5922480"/>
        <c:crosses val="autoZero"/>
        <c:crossBetween val="midCat"/>
      </c:valAx>
      <c:valAx>
        <c:axId val="161592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25935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Лист1!$I$39</c:f>
              <c:strCache>
                <c:ptCount val="1"/>
                <c:pt idx="0">
                  <c:v>NO2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Лист1!$A$40:$A$70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Лист1!$I$40:$I$70</c:f>
              <c:numCache>
                <c:formatCode>General</c:formatCode>
                <c:ptCount val="31"/>
                <c:pt idx="0">
                  <c:v>0</c:v>
                </c:pt>
                <c:pt idx="1">
                  <c:v>0.34933396499200969</c:v>
                </c:pt>
                <c:pt idx="2">
                  <c:v>0.99290860802606418</c:v>
                </c:pt>
                <c:pt idx="3">
                  <c:v>3.2417888505087498</c:v>
                </c:pt>
                <c:pt idx="4">
                  <c:v>0.77281885131521089</c:v>
                </c:pt>
                <c:pt idx="5">
                  <c:v>0.33110770062492334</c:v>
                </c:pt>
                <c:pt idx="6">
                  <c:v>-4.3274479436568675E-2</c:v>
                </c:pt>
                <c:pt idx="7">
                  <c:v>3.4951794386142314E-2</c:v>
                </c:pt>
                <c:pt idx="8">
                  <c:v>0.14861659517188491</c:v>
                </c:pt>
                <c:pt idx="9">
                  <c:v>-2.2240066937167383E-3</c:v>
                </c:pt>
                <c:pt idx="10">
                  <c:v>3.2553475142819864E-3</c:v>
                </c:pt>
                <c:pt idx="11">
                  <c:v>6.0414737875524741E-5</c:v>
                </c:pt>
                <c:pt idx="12">
                  <c:v>7.6744570388341494E-5</c:v>
                </c:pt>
                <c:pt idx="13">
                  <c:v>4.1275431701887685E-6</c:v>
                </c:pt>
                <c:pt idx="14">
                  <c:v>1.906418154827799E-6</c:v>
                </c:pt>
                <c:pt idx="15">
                  <c:v>1.6279416391133932E-7</c:v>
                </c:pt>
                <c:pt idx="16">
                  <c:v>4.9513719865270853E-8</c:v>
                </c:pt>
                <c:pt idx="17">
                  <c:v>5.5021811589317168E-9</c:v>
                </c:pt>
                <c:pt idx="18">
                  <c:v>1.331557850526438E-9</c:v>
                </c:pt>
                <c:pt idx="19">
                  <c:v>1.7373223150894679E-10</c:v>
                </c:pt>
                <c:pt idx="20">
                  <c:v>3.6730856203814888E-11</c:v>
                </c:pt>
                <c:pt idx="21">
                  <c:v>5.2956405536749851E-12</c:v>
                </c:pt>
                <c:pt idx="22">
                  <c:v>1.0311922756661707E-12</c:v>
                </c:pt>
                <c:pt idx="23">
                  <c:v>1.5832040539676129E-13</c:v>
                </c:pt>
                <c:pt idx="24">
                  <c:v>2.9085458000399633E-14</c:v>
                </c:pt>
                <c:pt idx="25">
                  <c:v>4.7195320568294008E-15</c:v>
                </c:pt>
                <c:pt idx="26">
                  <c:v>7.4441321162854734E-16</c:v>
                </c:pt>
                <c:pt idx="27">
                  <c:v>2.0231212538579513E-16</c:v>
                </c:pt>
                <c:pt idx="28">
                  <c:v>-1.0354130747236567E-16</c:v>
                </c:pt>
                <c:pt idx="29">
                  <c:v>-2.0166160408230382E-17</c:v>
                </c:pt>
                <c:pt idx="30">
                  <c:v>1.0505919051384538E-16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B3-6245-81AD-A4FEFC4EE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7556431"/>
        <c:axId val="1637163935"/>
      </c:scatterChart>
      <c:valAx>
        <c:axId val="16375564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37163935"/>
        <c:crosses val="autoZero"/>
        <c:crossBetween val="midCat"/>
      </c:valAx>
      <c:valAx>
        <c:axId val="1637163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375564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Лист1!$N$39</c:f>
              <c:strCache>
                <c:ptCount val="1"/>
                <c:pt idx="0">
                  <c:v>NC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Лист1!$A$40:$A$70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Лист1!$N$40:$N$70</c:f>
              <c:numCache>
                <c:formatCode>General</c:formatCode>
                <c:ptCount val="31"/>
                <c:pt idx="0">
                  <c:v>0</c:v>
                </c:pt>
                <c:pt idx="1">
                  <c:v>-12.206974985746292</c:v>
                </c:pt>
                <c:pt idx="2">
                  <c:v>-0.52828495710448786</c:v>
                </c:pt>
                <c:pt idx="3">
                  <c:v>-7.3165070702395187</c:v>
                </c:pt>
                <c:pt idx="4">
                  <c:v>-0.71527042513903472</c:v>
                </c:pt>
                <c:pt idx="5">
                  <c:v>-0.17006220564671079</c:v>
                </c:pt>
                <c:pt idx="6">
                  <c:v>-0.17631418121636019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F5-2F43-BCD9-A38AD3BB6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667247"/>
        <c:axId val="1676668895"/>
      </c:scatterChart>
      <c:valAx>
        <c:axId val="167666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6668895"/>
        <c:crosses val="autoZero"/>
        <c:crossBetween val="midCat"/>
      </c:valAx>
      <c:valAx>
        <c:axId val="1676668895"/>
        <c:scaling>
          <c:orientation val="minMax"/>
          <c:max val="1.5"/>
          <c:min val="-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666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Лист3!$C$4</c:f>
              <c:strCache>
                <c:ptCount val="1"/>
                <c:pt idx="0">
                  <c:v>СО2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Лист3!$B$6:$B$22</c:f>
              <c:numCache>
                <c:formatCode>General</c:formatCode>
                <c:ptCount val="17"/>
                <c:pt idx="0">
                  <c:v>430</c:v>
                </c:pt>
                <c:pt idx="1">
                  <c:v>450</c:v>
                </c:pt>
                <c:pt idx="2">
                  <c:v>500</c:v>
                </c:pt>
                <c:pt idx="3">
                  <c:v>520</c:v>
                </c:pt>
                <c:pt idx="4">
                  <c:v>550</c:v>
                </c:pt>
                <c:pt idx="5">
                  <c:v>580</c:v>
                </c:pt>
                <c:pt idx="6">
                  <c:v>600</c:v>
                </c:pt>
                <c:pt idx="7">
                  <c:v>620</c:v>
                </c:pt>
                <c:pt idx="8">
                  <c:v>650</c:v>
                </c:pt>
                <c:pt idx="9">
                  <c:v>680</c:v>
                </c:pt>
                <c:pt idx="10">
                  <c:v>700</c:v>
                </c:pt>
                <c:pt idx="11">
                  <c:v>750</c:v>
                </c:pt>
                <c:pt idx="12">
                  <c:v>800</c:v>
                </c:pt>
                <c:pt idx="13">
                  <c:v>850</c:v>
                </c:pt>
                <c:pt idx="14">
                  <c:v>900</c:v>
                </c:pt>
                <c:pt idx="15">
                  <c:v>950</c:v>
                </c:pt>
                <c:pt idx="16">
                  <c:v>1000</c:v>
                </c:pt>
              </c:numCache>
            </c:numRef>
          </c:xVal>
          <c:yVal>
            <c:numRef>
              <c:f>Лист3!$C$6:$C$22</c:f>
              <c:numCache>
                <c:formatCode>General</c:formatCode>
                <c:ptCount val="17"/>
                <c:pt idx="0">
                  <c:v>2.3381215535129639E-2</c:v>
                </c:pt>
                <c:pt idx="1">
                  <c:v>2.4763455725591896E-2</c:v>
                </c:pt>
                <c:pt idx="2">
                  <c:v>2.8405666924858623E-2</c:v>
                </c:pt>
                <c:pt idx="3">
                  <c:v>2.9909469443602184E-2</c:v>
                </c:pt>
                <c:pt idx="4">
                  <c:v>3.2063744274877397E-2</c:v>
                </c:pt>
                <c:pt idx="5">
                  <c:v>3.3822324862313263E-2</c:v>
                </c:pt>
                <c:pt idx="6">
                  <c:v>3.4577237410492262E-2</c:v>
                </c:pt>
                <c:pt idx="7">
                  <c:v>3.4850338421776962E-2</c:v>
                </c:pt>
                <c:pt idx="8">
                  <c:v>3.4132117367153401E-2</c:v>
                </c:pt>
                <c:pt idx="9">
                  <c:v>7.5609103754132836E-2</c:v>
                </c:pt>
                <c:pt idx="10">
                  <c:v>7.329865458551775E-2</c:v>
                </c:pt>
                <c:pt idx="11">
                  <c:v>6.6736843885759484E-2</c:v>
                </c:pt>
                <c:pt idx="12">
                  <c:v>6.0200726715992074E-2</c:v>
                </c:pt>
                <c:pt idx="13">
                  <c:v>5.4286599189331299E-2</c:v>
                </c:pt>
                <c:pt idx="14">
                  <c:v>4.9110823194249108E-2</c:v>
                </c:pt>
                <c:pt idx="15">
                  <c:v>4.4685105789226152E-2</c:v>
                </c:pt>
                <c:pt idx="16">
                  <c:v>4.0142455763210169E-2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A5-AC4B-87A9-C5F209D1137C}"/>
            </c:ext>
          </c:extLst>
        </c:ser>
        <c:ser>
          <c:idx val="1"/>
          <c:order val="1"/>
          <c:tx>
            <c:strRef>
              <c:f>Лист3!$D$4</c:f>
              <c:strCache>
                <c:ptCount val="1"/>
                <c:pt idx="0">
                  <c:v>СО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Лист3!$B$5:$B$22</c:f>
              <c:numCache>
                <c:formatCode>General</c:formatCode>
                <c:ptCount val="18"/>
                <c:pt idx="0">
                  <c:v>400</c:v>
                </c:pt>
                <c:pt idx="1">
                  <c:v>430</c:v>
                </c:pt>
                <c:pt idx="2">
                  <c:v>450</c:v>
                </c:pt>
                <c:pt idx="3">
                  <c:v>500</c:v>
                </c:pt>
                <c:pt idx="4">
                  <c:v>520</c:v>
                </c:pt>
                <c:pt idx="5">
                  <c:v>550</c:v>
                </c:pt>
                <c:pt idx="6">
                  <c:v>580</c:v>
                </c:pt>
                <c:pt idx="7">
                  <c:v>600</c:v>
                </c:pt>
                <c:pt idx="8">
                  <c:v>620</c:v>
                </c:pt>
                <c:pt idx="9">
                  <c:v>650</c:v>
                </c:pt>
                <c:pt idx="10">
                  <c:v>680</c:v>
                </c:pt>
                <c:pt idx="11">
                  <c:v>700</c:v>
                </c:pt>
                <c:pt idx="12">
                  <c:v>750</c:v>
                </c:pt>
                <c:pt idx="13">
                  <c:v>800</c:v>
                </c:pt>
                <c:pt idx="14">
                  <c:v>850</c:v>
                </c:pt>
                <c:pt idx="15">
                  <c:v>900</c:v>
                </c:pt>
                <c:pt idx="16">
                  <c:v>950</c:v>
                </c:pt>
                <c:pt idx="17">
                  <c:v>1000</c:v>
                </c:pt>
              </c:numCache>
            </c:numRef>
          </c:xVal>
          <c:yVal>
            <c:numRef>
              <c:f>Лист3!$D$5:$D$22</c:f>
              <c:numCache>
                <c:formatCode>General</c:formatCode>
                <c:ptCount val="18"/>
                <c:pt idx="0">
                  <c:v>1.1454890114060809E-3</c:v>
                </c:pt>
                <c:pt idx="1">
                  <c:v>2.2941748842978606E-3</c:v>
                </c:pt>
                <c:pt idx="2">
                  <c:v>3.533120233486326E-3</c:v>
                </c:pt>
                <c:pt idx="3">
                  <c:v>9.4570075161136916E-3</c:v>
                </c:pt>
                <c:pt idx="4">
                  <c:v>1.3559862216598651E-2</c:v>
                </c:pt>
                <c:pt idx="5">
                  <c:v>2.2526009169856653E-2</c:v>
                </c:pt>
                <c:pt idx="6">
                  <c:v>3.5994391784078754E-2</c:v>
                </c:pt>
                <c:pt idx="7">
                  <c:v>4.8130829863919845E-2</c:v>
                </c:pt>
                <c:pt idx="8">
                  <c:v>6.3207438792202544E-2</c:v>
                </c:pt>
                <c:pt idx="9">
                  <c:v>9.1841687417958062E-2</c:v>
                </c:pt>
                <c:pt idx="10">
                  <c:v>5.7399581770169288E-2</c:v>
                </c:pt>
                <c:pt idx="11">
                  <c:v>6.4643045570823093E-2</c:v>
                </c:pt>
                <c:pt idx="12">
                  <c:v>8.063220695676418E-2</c:v>
                </c:pt>
                <c:pt idx="13">
                  <c:v>9.3333925573920687E-2</c:v>
                </c:pt>
                <c:pt idx="14">
                  <c:v>0.10321851801375348</c:v>
                </c:pt>
                <c:pt idx="15">
                  <c:v>0.11096493582514877</c:v>
                </c:pt>
                <c:pt idx="16">
                  <c:v>0.11713760627491589</c:v>
                </c:pt>
                <c:pt idx="17">
                  <c:v>0.12218910097378535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A5-AC4B-87A9-C5F209D1137C}"/>
            </c:ext>
          </c:extLst>
        </c:ser>
        <c:ser>
          <c:idx val="2"/>
          <c:order val="2"/>
          <c:tx>
            <c:strRef>
              <c:f>Лист3!$E$4</c:f>
              <c:strCache>
                <c:ptCount val="1"/>
                <c:pt idx="0">
                  <c:v>Н2О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Лист3!$B$5:$B$22</c:f>
              <c:numCache>
                <c:formatCode>General</c:formatCode>
                <c:ptCount val="18"/>
                <c:pt idx="0">
                  <c:v>400</c:v>
                </c:pt>
                <c:pt idx="1">
                  <c:v>430</c:v>
                </c:pt>
                <c:pt idx="2">
                  <c:v>450</c:v>
                </c:pt>
                <c:pt idx="3">
                  <c:v>500</c:v>
                </c:pt>
                <c:pt idx="4">
                  <c:v>520</c:v>
                </c:pt>
                <c:pt idx="5">
                  <c:v>550</c:v>
                </c:pt>
                <c:pt idx="6">
                  <c:v>580</c:v>
                </c:pt>
                <c:pt idx="7">
                  <c:v>600</c:v>
                </c:pt>
                <c:pt idx="8">
                  <c:v>620</c:v>
                </c:pt>
                <c:pt idx="9">
                  <c:v>650</c:v>
                </c:pt>
                <c:pt idx="10">
                  <c:v>680</c:v>
                </c:pt>
                <c:pt idx="11">
                  <c:v>700</c:v>
                </c:pt>
                <c:pt idx="12">
                  <c:v>750</c:v>
                </c:pt>
                <c:pt idx="13">
                  <c:v>800</c:v>
                </c:pt>
                <c:pt idx="14">
                  <c:v>850</c:v>
                </c:pt>
                <c:pt idx="15">
                  <c:v>900</c:v>
                </c:pt>
                <c:pt idx="16">
                  <c:v>950</c:v>
                </c:pt>
                <c:pt idx="17">
                  <c:v>1000</c:v>
                </c:pt>
              </c:numCache>
            </c:numRef>
          </c:xVal>
          <c:yVal>
            <c:numRef>
              <c:f>Лист3!$E$5:$E$22</c:f>
              <c:numCache>
                <c:formatCode>General</c:formatCode>
                <c:ptCount val="18"/>
                <c:pt idx="0">
                  <c:v>0.65846948910028047</c:v>
                </c:pt>
                <c:pt idx="1">
                  <c:v>0.63318399639883638</c:v>
                </c:pt>
                <c:pt idx="2">
                  <c:v>0.61502223517514409</c:v>
                </c:pt>
                <c:pt idx="3">
                  <c:v>0.56581111908400306</c:v>
                </c:pt>
                <c:pt idx="4">
                  <c:v>0.54510541870454632</c:v>
                </c:pt>
                <c:pt idx="5">
                  <c:v>0.51312541858347593</c:v>
                </c:pt>
                <c:pt idx="6">
                  <c:v>0.47989373113300077</c:v>
                </c:pt>
                <c:pt idx="7">
                  <c:v>0.4568590269895989</c:v>
                </c:pt>
                <c:pt idx="8">
                  <c:v>0.43296193507913322</c:v>
                </c:pt>
                <c:pt idx="9">
                  <c:v>0.3952559271456319</c:v>
                </c:pt>
                <c:pt idx="10">
                  <c:v>0.34187391356246105</c:v>
                </c:pt>
                <c:pt idx="11">
                  <c:v>0.33184104684045879</c:v>
                </c:pt>
                <c:pt idx="12">
                  <c:v>0.31475104375791135</c:v>
                </c:pt>
                <c:pt idx="13">
                  <c:v>0.30569391728364581</c:v>
                </c:pt>
                <c:pt idx="14">
                  <c:v>0.30142912994911542</c:v>
                </c:pt>
                <c:pt idx="15">
                  <c:v>0.29990174578816742</c:v>
                </c:pt>
                <c:pt idx="16">
                  <c:v>0.30026163387051247</c:v>
                </c:pt>
                <c:pt idx="17">
                  <c:v>0.29684942625021599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A5-AC4B-87A9-C5F209D1137C}"/>
            </c:ext>
          </c:extLst>
        </c:ser>
        <c:ser>
          <c:idx val="3"/>
          <c:order val="3"/>
          <c:tx>
            <c:strRef>
              <c:f>Лист3!$F$4</c:f>
              <c:strCache>
                <c:ptCount val="1"/>
                <c:pt idx="0">
                  <c:v>Н2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Лист3!$B$5:$B$22</c:f>
              <c:numCache>
                <c:formatCode>General</c:formatCode>
                <c:ptCount val="18"/>
                <c:pt idx="0">
                  <c:v>400</c:v>
                </c:pt>
                <c:pt idx="1">
                  <c:v>430</c:v>
                </c:pt>
                <c:pt idx="2">
                  <c:v>450</c:v>
                </c:pt>
                <c:pt idx="3">
                  <c:v>500</c:v>
                </c:pt>
                <c:pt idx="4">
                  <c:v>520</c:v>
                </c:pt>
                <c:pt idx="5">
                  <c:v>550</c:v>
                </c:pt>
                <c:pt idx="6">
                  <c:v>580</c:v>
                </c:pt>
                <c:pt idx="7">
                  <c:v>600</c:v>
                </c:pt>
                <c:pt idx="8">
                  <c:v>620</c:v>
                </c:pt>
                <c:pt idx="9">
                  <c:v>650</c:v>
                </c:pt>
                <c:pt idx="10">
                  <c:v>680</c:v>
                </c:pt>
                <c:pt idx="11">
                  <c:v>700</c:v>
                </c:pt>
                <c:pt idx="12">
                  <c:v>750</c:v>
                </c:pt>
                <c:pt idx="13">
                  <c:v>800</c:v>
                </c:pt>
                <c:pt idx="14">
                  <c:v>850</c:v>
                </c:pt>
                <c:pt idx="15">
                  <c:v>900</c:v>
                </c:pt>
                <c:pt idx="16">
                  <c:v>950</c:v>
                </c:pt>
                <c:pt idx="17">
                  <c:v>1000</c:v>
                </c:pt>
              </c:numCache>
            </c:numRef>
          </c:xVal>
          <c:yVal>
            <c:numRef>
              <c:f>Лист3!$F$5:$F$22</c:f>
              <c:numCache>
                <c:formatCode>General</c:formatCode>
                <c:ptCount val="18"/>
                <c:pt idx="0">
                  <c:v>0.10756460221331357</c:v>
                </c:pt>
                <c:pt idx="1">
                  <c:v>0.13940247263483763</c:v>
                </c:pt>
                <c:pt idx="2">
                  <c:v>0.16234418294434183</c:v>
                </c:pt>
                <c:pt idx="3">
                  <c:v>0.22349572743636925</c:v>
                </c:pt>
                <c:pt idx="4">
                  <c:v>0.24873317469384204</c:v>
                </c:pt>
                <c:pt idx="5">
                  <c:v>0.2869482759987661</c:v>
                </c:pt>
                <c:pt idx="6">
                  <c:v>0.3255953447391145</c:v>
                </c:pt>
                <c:pt idx="7">
                  <c:v>0.35175952928262466</c:v>
                </c:pt>
                <c:pt idx="8">
                  <c:v>0.37841471491320311</c:v>
                </c:pt>
                <c:pt idx="9">
                  <c:v>0.41962345665702377</c:v>
                </c:pt>
                <c:pt idx="10">
                  <c:v>0.47463247571141454</c:v>
                </c:pt>
                <c:pt idx="11">
                  <c:v>0.48712719124351073</c:v>
                </c:pt>
                <c:pt idx="12">
                  <c:v>0.5088949432767611</c:v>
                </c:pt>
                <c:pt idx="13">
                  <c:v>0.52095786695259494</c:v>
                </c:pt>
                <c:pt idx="14">
                  <c:v>0.52709943683431215</c:v>
                </c:pt>
                <c:pt idx="15">
                  <c:v>0.52979356946183498</c:v>
                </c:pt>
                <c:pt idx="16">
                  <c:v>0.53043669126011661</c:v>
                </c:pt>
                <c:pt idx="17">
                  <c:v>0.53123785566093118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A5-AC4B-87A9-C5F209D1137C}"/>
            </c:ext>
          </c:extLst>
        </c:ser>
        <c:ser>
          <c:idx val="4"/>
          <c:order val="4"/>
          <c:tx>
            <c:strRef>
              <c:f>Лист3!$G$4</c:f>
              <c:strCache>
                <c:ptCount val="1"/>
                <c:pt idx="0">
                  <c:v>СН4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Лист3!$B$5:$B$22</c:f>
              <c:numCache>
                <c:formatCode>General</c:formatCode>
                <c:ptCount val="18"/>
                <c:pt idx="0">
                  <c:v>400</c:v>
                </c:pt>
                <c:pt idx="1">
                  <c:v>430</c:v>
                </c:pt>
                <c:pt idx="2">
                  <c:v>450</c:v>
                </c:pt>
                <c:pt idx="3">
                  <c:v>500</c:v>
                </c:pt>
                <c:pt idx="4">
                  <c:v>520</c:v>
                </c:pt>
                <c:pt idx="5">
                  <c:v>550</c:v>
                </c:pt>
                <c:pt idx="6">
                  <c:v>580</c:v>
                </c:pt>
                <c:pt idx="7">
                  <c:v>600</c:v>
                </c:pt>
                <c:pt idx="8">
                  <c:v>620</c:v>
                </c:pt>
                <c:pt idx="9">
                  <c:v>650</c:v>
                </c:pt>
                <c:pt idx="10">
                  <c:v>680</c:v>
                </c:pt>
                <c:pt idx="11">
                  <c:v>700</c:v>
                </c:pt>
                <c:pt idx="12">
                  <c:v>750</c:v>
                </c:pt>
                <c:pt idx="13">
                  <c:v>800</c:v>
                </c:pt>
                <c:pt idx="14">
                  <c:v>850</c:v>
                </c:pt>
                <c:pt idx="15">
                  <c:v>900</c:v>
                </c:pt>
                <c:pt idx="16">
                  <c:v>950</c:v>
                </c:pt>
                <c:pt idx="17">
                  <c:v>1000</c:v>
                </c:pt>
              </c:numCache>
            </c:numRef>
          </c:xVal>
          <c:yVal>
            <c:numRef>
              <c:f>Лист3!$G$5:$G$22</c:f>
              <c:numCache>
                <c:formatCode>General</c:formatCode>
                <c:ptCount val="18"/>
                <c:pt idx="0">
                  <c:v>0.20224747164156168</c:v>
                </c:pt>
                <c:pt idx="1">
                  <c:v>0.18224059923353017</c:v>
                </c:pt>
                <c:pt idx="2">
                  <c:v>0.1680162706223334</c:v>
                </c:pt>
                <c:pt idx="3">
                  <c:v>0.13207946044578295</c:v>
                </c:pt>
                <c:pt idx="4">
                  <c:v>0.11848421980714738</c:v>
                </c:pt>
                <c:pt idx="5">
                  <c:v>9.977891628610347E-2</c:v>
                </c:pt>
                <c:pt idx="6">
                  <c:v>8.3532772554303594E-2</c:v>
                </c:pt>
                <c:pt idx="7">
                  <c:v>7.4144331509236494E-2</c:v>
                </c:pt>
                <c:pt idx="8">
                  <c:v>6.5870050484020864E-2</c:v>
                </c:pt>
                <c:pt idx="9">
                  <c:v>5.5361849066144095E-2</c:v>
                </c:pt>
                <c:pt idx="10">
                  <c:v>5.04876098174468E-2</c:v>
                </c:pt>
                <c:pt idx="11">
                  <c:v>4.3086625570719059E-2</c:v>
                </c:pt>
                <c:pt idx="12">
                  <c:v>2.8934015259373336E-2</c:v>
                </c:pt>
                <c:pt idx="13">
                  <c:v>1.9660380106982091E-2</c:v>
                </c:pt>
                <c:pt idx="14">
                  <c:v>1.3668829977761112E-2</c:v>
                </c:pt>
                <c:pt idx="15">
                  <c:v>9.773456521207681E-3</c:v>
                </c:pt>
                <c:pt idx="16">
                  <c:v>7.1955135267646395E-3</c:v>
                </c:pt>
                <c:pt idx="17">
                  <c:v>5.4804316651229888E-3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8A5-AC4B-87A9-C5F209D1137C}"/>
            </c:ext>
          </c:extLst>
        </c:ser>
        <c:ser>
          <c:idx val="5"/>
          <c:order val="5"/>
          <c:tx>
            <c:strRef>
              <c:f>Лист3!$H$4</c:f>
              <c:strCache>
                <c:ptCount val="1"/>
                <c:pt idx="0">
                  <c:v>С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Лист3!$B$5:$B$22</c:f>
              <c:numCache>
                <c:formatCode>General</c:formatCode>
                <c:ptCount val="18"/>
                <c:pt idx="0">
                  <c:v>400</c:v>
                </c:pt>
                <c:pt idx="1">
                  <c:v>430</c:v>
                </c:pt>
                <c:pt idx="2">
                  <c:v>450</c:v>
                </c:pt>
                <c:pt idx="3">
                  <c:v>500</c:v>
                </c:pt>
                <c:pt idx="4">
                  <c:v>520</c:v>
                </c:pt>
                <c:pt idx="5">
                  <c:v>550</c:v>
                </c:pt>
                <c:pt idx="6">
                  <c:v>580</c:v>
                </c:pt>
                <c:pt idx="7">
                  <c:v>600</c:v>
                </c:pt>
                <c:pt idx="8">
                  <c:v>620</c:v>
                </c:pt>
                <c:pt idx="9">
                  <c:v>650</c:v>
                </c:pt>
                <c:pt idx="10">
                  <c:v>680</c:v>
                </c:pt>
                <c:pt idx="11">
                  <c:v>700</c:v>
                </c:pt>
                <c:pt idx="12">
                  <c:v>750</c:v>
                </c:pt>
                <c:pt idx="13">
                  <c:v>800</c:v>
                </c:pt>
                <c:pt idx="14">
                  <c:v>850</c:v>
                </c:pt>
                <c:pt idx="15">
                  <c:v>900</c:v>
                </c:pt>
                <c:pt idx="16">
                  <c:v>950</c:v>
                </c:pt>
                <c:pt idx="17">
                  <c:v>1000</c:v>
                </c:pt>
              </c:numCache>
            </c:numRef>
          </c:xVal>
          <c:yVal>
            <c:numRef>
              <c:f>Лист3!$H$5:$H$22</c:f>
              <c:numCache>
                <c:formatCode>General</c:formatCode>
                <c:ptCount val="18"/>
                <c:pt idx="0">
                  <c:v>9.4080765271242432E-3</c:v>
                </c:pt>
                <c:pt idx="1">
                  <c:v>1.9497546693813126E-2</c:v>
                </c:pt>
                <c:pt idx="2">
                  <c:v>2.6405139572491215E-2</c:v>
                </c:pt>
                <c:pt idx="3">
                  <c:v>4.0751018600877112E-2</c:v>
                </c:pt>
                <c:pt idx="4">
                  <c:v>4.4207855134948924E-2</c:v>
                </c:pt>
                <c:pt idx="5">
                  <c:v>4.5557635696637844E-2</c:v>
                </c:pt>
                <c:pt idx="6">
                  <c:v>4.1161434977963283E-2</c:v>
                </c:pt>
                <c:pt idx="7">
                  <c:v>3.4529045040520484E-2</c:v>
                </c:pt>
                <c:pt idx="8">
                  <c:v>2.4695522444296739E-2</c:v>
                </c:pt>
                <c:pt idx="9">
                  <c:v>3.7849624802305587E-3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8A5-AC4B-87A9-C5F209D11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804543"/>
        <c:axId val="1181013887"/>
      </c:scatterChart>
      <c:valAx>
        <c:axId val="1223804543"/>
        <c:scaling>
          <c:orientation val="minMax"/>
          <c:min val="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81013887"/>
        <c:crosses val="autoZero"/>
        <c:crossBetween val="midCat"/>
      </c:valAx>
      <c:valAx>
        <c:axId val="118101388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238045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Лист2!$C$4</c:f>
              <c:strCache>
                <c:ptCount val="1"/>
                <c:pt idx="0">
                  <c:v>СО2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Лист2!$B$6:$B$21</c:f>
              <c:numCache>
                <c:formatCode>General</c:formatCode>
                <c:ptCount val="16"/>
                <c:pt idx="0">
                  <c:v>550</c:v>
                </c:pt>
                <c:pt idx="1">
                  <c:v>560</c:v>
                </c:pt>
                <c:pt idx="2">
                  <c:v>570</c:v>
                </c:pt>
                <c:pt idx="3">
                  <c:v>580</c:v>
                </c:pt>
                <c:pt idx="4">
                  <c:v>600</c:v>
                </c:pt>
                <c:pt idx="5">
                  <c:v>620</c:v>
                </c:pt>
                <c:pt idx="6">
                  <c:v>633.5</c:v>
                </c:pt>
                <c:pt idx="7">
                  <c:v>650</c:v>
                </c:pt>
                <c:pt idx="8">
                  <c:v>680</c:v>
                </c:pt>
                <c:pt idx="9">
                  <c:v>700</c:v>
                </c:pt>
                <c:pt idx="10">
                  <c:v>750</c:v>
                </c:pt>
                <c:pt idx="11">
                  <c:v>800</c:v>
                </c:pt>
                <c:pt idx="12">
                  <c:v>850</c:v>
                </c:pt>
                <c:pt idx="13">
                  <c:v>900</c:v>
                </c:pt>
                <c:pt idx="14">
                  <c:v>950</c:v>
                </c:pt>
                <c:pt idx="15">
                  <c:v>1000</c:v>
                </c:pt>
              </c:numCache>
            </c:numRef>
          </c:xVal>
          <c:yVal>
            <c:numRef>
              <c:f>Лист2!$C$6:$C$21</c:f>
              <c:numCache>
                <c:formatCode>General</c:formatCode>
                <c:ptCount val="16"/>
                <c:pt idx="0">
                  <c:v>8.0158649907004442E-2</c:v>
                </c:pt>
                <c:pt idx="1">
                  <c:v>8.7054982190684374E-2</c:v>
                </c:pt>
                <c:pt idx="2">
                  <c:v>8.7570013590475962E-2</c:v>
                </c:pt>
                <c:pt idx="3">
                  <c:v>8.7862594329303503E-2</c:v>
                </c:pt>
                <c:pt idx="4">
                  <c:v>8.7052714386240806E-2</c:v>
                </c:pt>
                <c:pt idx="5">
                  <c:v>8.5377479844853763E-2</c:v>
                </c:pt>
                <c:pt idx="6">
                  <c:v>8.3596748884139552E-2</c:v>
                </c:pt>
                <c:pt idx="7">
                  <c:v>8.1051670414993213E-2</c:v>
                </c:pt>
                <c:pt idx="8">
                  <c:v>7.5992389950140335E-2</c:v>
                </c:pt>
                <c:pt idx="9">
                  <c:v>7.2647516642203883E-2</c:v>
                </c:pt>
                <c:pt idx="10">
                  <c:v>6.5056971967858396E-2</c:v>
                </c:pt>
                <c:pt idx="11">
                  <c:v>5.8592439504831131E-2</c:v>
                </c:pt>
                <c:pt idx="12">
                  <c:v>5.2977811128052908E-2</c:v>
                </c:pt>
                <c:pt idx="13">
                  <c:v>4.8214055545091165E-2</c:v>
                </c:pt>
                <c:pt idx="14">
                  <c:v>4.4004239924736642E-2</c:v>
                </c:pt>
                <c:pt idx="15">
                  <c:v>4.0311949931750531E-2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F5-0341-866B-BC228B90386B}"/>
            </c:ext>
          </c:extLst>
        </c:ser>
        <c:ser>
          <c:idx val="1"/>
          <c:order val="1"/>
          <c:tx>
            <c:strRef>
              <c:f>Лист2!$D$4</c:f>
              <c:strCache>
                <c:ptCount val="1"/>
                <c:pt idx="0">
                  <c:v>СО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Лист2!$B$6:$B$21</c:f>
              <c:numCache>
                <c:formatCode>General</c:formatCode>
                <c:ptCount val="16"/>
                <c:pt idx="0">
                  <c:v>550</c:v>
                </c:pt>
                <c:pt idx="1">
                  <c:v>560</c:v>
                </c:pt>
                <c:pt idx="2">
                  <c:v>570</c:v>
                </c:pt>
                <c:pt idx="3">
                  <c:v>580</c:v>
                </c:pt>
                <c:pt idx="4">
                  <c:v>600</c:v>
                </c:pt>
                <c:pt idx="5">
                  <c:v>620</c:v>
                </c:pt>
                <c:pt idx="6">
                  <c:v>633.5</c:v>
                </c:pt>
                <c:pt idx="7">
                  <c:v>650</c:v>
                </c:pt>
                <c:pt idx="8">
                  <c:v>680</c:v>
                </c:pt>
                <c:pt idx="9">
                  <c:v>700</c:v>
                </c:pt>
                <c:pt idx="10">
                  <c:v>750</c:v>
                </c:pt>
                <c:pt idx="11">
                  <c:v>800</c:v>
                </c:pt>
                <c:pt idx="12">
                  <c:v>850</c:v>
                </c:pt>
                <c:pt idx="13">
                  <c:v>900</c:v>
                </c:pt>
                <c:pt idx="14">
                  <c:v>950</c:v>
                </c:pt>
                <c:pt idx="15">
                  <c:v>1000</c:v>
                </c:pt>
              </c:numCache>
            </c:numRef>
          </c:xVal>
          <c:yVal>
            <c:numRef>
              <c:f>Лист2!$D$6:$D$21</c:f>
              <c:numCache>
                <c:formatCode>General</c:formatCode>
                <c:ptCount val="16"/>
                <c:pt idx="0">
                  <c:v>2.2418163197963314E-2</c:v>
                </c:pt>
                <c:pt idx="1">
                  <c:v>2.8265542071456432E-2</c:v>
                </c:pt>
                <c:pt idx="2">
                  <c:v>3.2402271567707537E-2</c:v>
                </c:pt>
                <c:pt idx="3">
                  <c:v>3.6882356132895415E-2</c:v>
                </c:pt>
                <c:pt idx="4">
                  <c:v>4.6562175855092543E-2</c:v>
                </c:pt>
                <c:pt idx="5">
                  <c:v>5.6474525176652648E-2</c:v>
                </c:pt>
                <c:pt idx="6">
                  <c:v>6.3076025497944013E-2</c:v>
                </c:pt>
                <c:pt idx="7">
                  <c:v>7.0689844348490141E-2</c:v>
                </c:pt>
                <c:pt idx="8">
                  <c:v>8.2514747766021621E-2</c:v>
                </c:pt>
                <c:pt idx="9">
                  <c:v>8.8771322784472945E-2</c:v>
                </c:pt>
                <c:pt idx="10">
                  <c:v>9.9953311635287173E-2</c:v>
                </c:pt>
                <c:pt idx="11">
                  <c:v>0.10753490782556548</c:v>
                </c:pt>
                <c:pt idx="12">
                  <c:v>0.11335426964112694</c:v>
                </c:pt>
                <c:pt idx="13">
                  <c:v>0.11832349948814166</c:v>
                </c:pt>
                <c:pt idx="14">
                  <c:v>0.12260814191040596</c:v>
                </c:pt>
                <c:pt idx="15">
                  <c:v>0.12633004853157861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F5-0341-866B-BC228B90386B}"/>
            </c:ext>
          </c:extLst>
        </c:ser>
        <c:ser>
          <c:idx val="2"/>
          <c:order val="2"/>
          <c:tx>
            <c:strRef>
              <c:f>Лист2!$E$4</c:f>
              <c:strCache>
                <c:ptCount val="1"/>
                <c:pt idx="0">
                  <c:v>Н2О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Лист2!$B$5:$B$21</c:f>
              <c:numCache>
                <c:formatCode>General</c:formatCode>
                <c:ptCount val="17"/>
                <c:pt idx="0">
                  <c:v>545</c:v>
                </c:pt>
                <c:pt idx="1">
                  <c:v>550</c:v>
                </c:pt>
                <c:pt idx="2">
                  <c:v>560</c:v>
                </c:pt>
                <c:pt idx="3">
                  <c:v>570</c:v>
                </c:pt>
                <c:pt idx="4">
                  <c:v>580</c:v>
                </c:pt>
                <c:pt idx="5">
                  <c:v>600</c:v>
                </c:pt>
                <c:pt idx="6">
                  <c:v>620</c:v>
                </c:pt>
                <c:pt idx="7">
                  <c:v>633.5</c:v>
                </c:pt>
                <c:pt idx="8">
                  <c:v>650</c:v>
                </c:pt>
                <c:pt idx="9">
                  <c:v>680</c:v>
                </c:pt>
                <c:pt idx="10">
                  <c:v>700</c:v>
                </c:pt>
                <c:pt idx="11">
                  <c:v>750</c:v>
                </c:pt>
                <c:pt idx="12">
                  <c:v>800</c:v>
                </c:pt>
                <c:pt idx="13">
                  <c:v>850</c:v>
                </c:pt>
                <c:pt idx="14">
                  <c:v>900</c:v>
                </c:pt>
                <c:pt idx="15">
                  <c:v>950</c:v>
                </c:pt>
                <c:pt idx="16">
                  <c:v>1000</c:v>
                </c:pt>
              </c:numCache>
            </c:numRef>
          </c:xVal>
          <c:yVal>
            <c:numRef>
              <c:f>Лист2!$E$5:$E$21</c:f>
              <c:numCache>
                <c:formatCode>General</c:formatCode>
                <c:ptCount val="17"/>
                <c:pt idx="0">
                  <c:v>0.39443086668945843</c:v>
                </c:pt>
                <c:pt idx="1">
                  <c:v>0.43806713420695387</c:v>
                </c:pt>
                <c:pt idx="2">
                  <c:v>0.37450042624950169</c:v>
                </c:pt>
                <c:pt idx="3">
                  <c:v>0.36179331025581168</c:v>
                </c:pt>
                <c:pt idx="4">
                  <c:v>0.35028040029063334</c:v>
                </c:pt>
                <c:pt idx="5">
                  <c:v>0.32813848058232387</c:v>
                </c:pt>
                <c:pt idx="6">
                  <c:v>0.30999230118770577</c:v>
                </c:pt>
                <c:pt idx="7">
                  <c:v>0.29972118973680739</c:v>
                </c:pt>
                <c:pt idx="8">
                  <c:v>0.2895945432530222</c:v>
                </c:pt>
                <c:pt idx="9">
                  <c:v>0.27773976565194203</c:v>
                </c:pt>
                <c:pt idx="10">
                  <c:v>0.27380538478962824</c:v>
                </c:pt>
                <c:pt idx="11">
                  <c:v>0.27241731902427785</c:v>
                </c:pt>
                <c:pt idx="12">
                  <c:v>0.27608919216917749</c:v>
                </c:pt>
                <c:pt idx="13">
                  <c:v>0.28054671249566704</c:v>
                </c:pt>
                <c:pt idx="14">
                  <c:v>0.28519305289554681</c:v>
                </c:pt>
                <c:pt idx="15">
                  <c:v>0.28936011191566818</c:v>
                </c:pt>
                <c:pt idx="16">
                  <c:v>0.29303547900242416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F5-0341-866B-BC228B90386B}"/>
            </c:ext>
          </c:extLst>
        </c:ser>
        <c:ser>
          <c:idx val="3"/>
          <c:order val="3"/>
          <c:tx>
            <c:strRef>
              <c:f>Лист2!$F$4</c:f>
              <c:strCache>
                <c:ptCount val="1"/>
                <c:pt idx="0">
                  <c:v>Н2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Лист2!$B$5:$B$21</c:f>
              <c:numCache>
                <c:formatCode>General</c:formatCode>
                <c:ptCount val="17"/>
                <c:pt idx="0">
                  <c:v>545</c:v>
                </c:pt>
                <c:pt idx="1">
                  <c:v>550</c:v>
                </c:pt>
                <c:pt idx="2">
                  <c:v>560</c:v>
                </c:pt>
                <c:pt idx="3">
                  <c:v>570</c:v>
                </c:pt>
                <c:pt idx="4">
                  <c:v>580</c:v>
                </c:pt>
                <c:pt idx="5">
                  <c:v>600</c:v>
                </c:pt>
                <c:pt idx="6">
                  <c:v>620</c:v>
                </c:pt>
                <c:pt idx="7">
                  <c:v>633.5</c:v>
                </c:pt>
                <c:pt idx="8">
                  <c:v>650</c:v>
                </c:pt>
                <c:pt idx="9">
                  <c:v>680</c:v>
                </c:pt>
                <c:pt idx="10">
                  <c:v>700</c:v>
                </c:pt>
                <c:pt idx="11">
                  <c:v>750</c:v>
                </c:pt>
                <c:pt idx="12">
                  <c:v>800</c:v>
                </c:pt>
                <c:pt idx="13">
                  <c:v>850</c:v>
                </c:pt>
                <c:pt idx="14">
                  <c:v>900</c:v>
                </c:pt>
                <c:pt idx="15">
                  <c:v>950</c:v>
                </c:pt>
                <c:pt idx="16">
                  <c:v>1000</c:v>
                </c:pt>
              </c:numCache>
            </c:numRef>
          </c:xVal>
          <c:yVal>
            <c:numRef>
              <c:f>Лист2!$F$5:$F$21</c:f>
              <c:numCache>
                <c:formatCode>General</c:formatCode>
                <c:ptCount val="17"/>
                <c:pt idx="0">
                  <c:v>0.40906711616511593</c:v>
                </c:pt>
                <c:pt idx="1">
                  <c:v>0.31423268523339765</c:v>
                </c:pt>
                <c:pt idx="2">
                  <c:v>0.43286033787925077</c:v>
                </c:pt>
                <c:pt idx="3">
                  <c:v>0.44793374990380047</c:v>
                </c:pt>
                <c:pt idx="4">
                  <c:v>0.4619886244960329</c:v>
                </c:pt>
                <c:pt idx="5">
                  <c:v>0.48817759131085403</c:v>
                </c:pt>
                <c:pt idx="6">
                  <c:v>0.51093308056743902</c:v>
                </c:pt>
                <c:pt idx="7">
                  <c:v>0.52361518414141628</c:v>
                </c:pt>
                <c:pt idx="8">
                  <c:v>0.53627620462791714</c:v>
                </c:pt>
                <c:pt idx="9">
                  <c:v>0.5515138032272402</c:v>
                </c:pt>
                <c:pt idx="10">
                  <c:v>0.55690403492420215</c:v>
                </c:pt>
                <c:pt idx="11">
                  <c:v>0.56008782277729474</c:v>
                </c:pt>
                <c:pt idx="12">
                  <c:v>0.55697448149602091</c:v>
                </c:pt>
                <c:pt idx="13">
                  <c:v>0.55283441552095269</c:v>
                </c:pt>
                <c:pt idx="14">
                  <c:v>0.54815871901896196</c:v>
                </c:pt>
                <c:pt idx="15">
                  <c:v>0.54398097360028408</c:v>
                </c:pt>
                <c:pt idx="16">
                  <c:v>0.54030137732925443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F5-0341-866B-BC228B90386B}"/>
            </c:ext>
          </c:extLst>
        </c:ser>
        <c:ser>
          <c:idx val="4"/>
          <c:order val="4"/>
          <c:tx>
            <c:strRef>
              <c:f>Лист2!$G$4</c:f>
              <c:strCache>
                <c:ptCount val="1"/>
                <c:pt idx="0">
                  <c:v>СН4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Лист2!$B$5:$B$21</c:f>
              <c:numCache>
                <c:formatCode>General</c:formatCode>
                <c:ptCount val="17"/>
                <c:pt idx="0">
                  <c:v>545</c:v>
                </c:pt>
                <c:pt idx="1">
                  <c:v>550</c:v>
                </c:pt>
                <c:pt idx="2">
                  <c:v>560</c:v>
                </c:pt>
                <c:pt idx="3">
                  <c:v>570</c:v>
                </c:pt>
                <c:pt idx="4">
                  <c:v>580</c:v>
                </c:pt>
                <c:pt idx="5">
                  <c:v>600</c:v>
                </c:pt>
                <c:pt idx="6">
                  <c:v>620</c:v>
                </c:pt>
                <c:pt idx="7">
                  <c:v>633.5</c:v>
                </c:pt>
                <c:pt idx="8">
                  <c:v>650</c:v>
                </c:pt>
                <c:pt idx="9">
                  <c:v>680</c:v>
                </c:pt>
                <c:pt idx="10">
                  <c:v>700</c:v>
                </c:pt>
                <c:pt idx="11">
                  <c:v>750</c:v>
                </c:pt>
                <c:pt idx="12">
                  <c:v>800</c:v>
                </c:pt>
                <c:pt idx="13">
                  <c:v>850</c:v>
                </c:pt>
                <c:pt idx="14">
                  <c:v>900</c:v>
                </c:pt>
                <c:pt idx="15">
                  <c:v>950</c:v>
                </c:pt>
                <c:pt idx="16">
                  <c:v>1000</c:v>
                </c:pt>
              </c:numCache>
            </c:numRef>
          </c:xVal>
          <c:yVal>
            <c:numRef>
              <c:f>Лист2!$G$5:$G$21</c:f>
              <c:numCache>
                <c:formatCode>General</c:formatCode>
                <c:ptCount val="17"/>
                <c:pt idx="0">
                  <c:v>8.81639890814606E-2</c:v>
                </c:pt>
                <c:pt idx="1">
                  <c:v>0.14118558796226263</c:v>
                </c:pt>
                <c:pt idx="2">
                  <c:v>7.7049561854229523E-2</c:v>
                </c:pt>
                <c:pt idx="3">
                  <c:v>6.9582810757253269E-2</c:v>
                </c:pt>
                <c:pt idx="4">
                  <c:v>6.2938775175113329E-2</c:v>
                </c:pt>
                <c:pt idx="5">
                  <c:v>4.918036839499277E-2</c:v>
                </c:pt>
                <c:pt idx="6">
                  <c:v>3.7222130834149186E-2</c:v>
                </c:pt>
                <c:pt idx="7">
                  <c:v>2.9990740563413623E-2</c:v>
                </c:pt>
                <c:pt idx="8">
                  <c:v>2.2387733085779318E-2</c:v>
                </c:pt>
                <c:pt idx="9">
                  <c:v>1.2239293325612507E-2</c:v>
                </c:pt>
                <c:pt idx="10">
                  <c:v>7.8717408585089951E-3</c:v>
                </c:pt>
                <c:pt idx="11">
                  <c:v>2.484574595281864E-3</c:v>
                </c:pt>
                <c:pt idx="12">
                  <c:v>8.0897900440513189E-4</c:v>
                </c:pt>
                <c:pt idx="13">
                  <c:v>2.8679121420035423E-4</c:v>
                </c:pt>
                <c:pt idx="14">
                  <c:v>1.1067305225831625E-4</c:v>
                </c:pt>
                <c:pt idx="15">
                  <c:v>4.6532648904933213E-5</c:v>
                </c:pt>
                <c:pt idx="16">
                  <c:v>2.1145204990262888E-5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F5-0341-866B-BC228B90386B}"/>
            </c:ext>
          </c:extLst>
        </c:ser>
        <c:ser>
          <c:idx val="7"/>
          <c:order val="5"/>
          <c:tx>
            <c:strRef>
              <c:f>Лист2!$J$4</c:f>
              <c:strCache>
                <c:ptCount val="1"/>
                <c:pt idx="0">
                  <c:v>С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Лист2!$B$5:$B$21</c:f>
              <c:numCache>
                <c:formatCode>General</c:formatCode>
                <c:ptCount val="17"/>
                <c:pt idx="0">
                  <c:v>545</c:v>
                </c:pt>
                <c:pt idx="1">
                  <c:v>550</c:v>
                </c:pt>
                <c:pt idx="2">
                  <c:v>560</c:v>
                </c:pt>
                <c:pt idx="3">
                  <c:v>570</c:v>
                </c:pt>
                <c:pt idx="4">
                  <c:v>580</c:v>
                </c:pt>
                <c:pt idx="5">
                  <c:v>600</c:v>
                </c:pt>
                <c:pt idx="6">
                  <c:v>620</c:v>
                </c:pt>
                <c:pt idx="7">
                  <c:v>633.5</c:v>
                </c:pt>
                <c:pt idx="8">
                  <c:v>650</c:v>
                </c:pt>
                <c:pt idx="9">
                  <c:v>680</c:v>
                </c:pt>
                <c:pt idx="10">
                  <c:v>700</c:v>
                </c:pt>
                <c:pt idx="11">
                  <c:v>750</c:v>
                </c:pt>
                <c:pt idx="12">
                  <c:v>800</c:v>
                </c:pt>
                <c:pt idx="13">
                  <c:v>850</c:v>
                </c:pt>
                <c:pt idx="14">
                  <c:v>900</c:v>
                </c:pt>
                <c:pt idx="15">
                  <c:v>950</c:v>
                </c:pt>
                <c:pt idx="16">
                  <c:v>1000</c:v>
                </c:pt>
              </c:numCache>
            </c:numRef>
          </c:xVal>
          <c:yVal>
            <c:numRef>
              <c:f>Лист2!$J$5:$J$21</c:f>
              <c:numCache>
                <c:formatCode>General</c:formatCode>
                <c:ptCount val="17"/>
                <c:pt idx="0">
                  <c:v>3.1378155335703772E-4</c:v>
                </c:pt>
                <c:pt idx="1">
                  <c:v>3.9377794924180618E-3</c:v>
                </c:pt>
                <c:pt idx="2">
                  <c:v>2.6914975487709448E-4</c:v>
                </c:pt>
                <c:pt idx="3">
                  <c:v>7.178439249513061E-4</c:v>
                </c:pt>
                <c:pt idx="4">
                  <c:v>4.7249576021404716E-5</c:v>
                </c:pt>
                <c:pt idx="5">
                  <c:v>8.886694704959957E-4</c:v>
                </c:pt>
                <c:pt idx="6">
                  <c:v>4.8238919954599386E-7</c:v>
                </c:pt>
                <c:pt idx="7">
                  <c:v>1.1117627902157059E-7</c:v>
                </c:pt>
                <c:pt idx="8">
                  <c:v>4.26979795033616E-9</c:v>
                </c:pt>
                <c:pt idx="9">
                  <c:v>7.9043176155651316E-11</c:v>
                </c:pt>
                <c:pt idx="10">
                  <c:v>9.8383054455693202E-13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B1-5540-9DBF-4E8EE4F8D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38704"/>
        <c:axId val="209208240"/>
      </c:scatterChart>
      <c:valAx>
        <c:axId val="130838704"/>
        <c:scaling>
          <c:orientation val="minMax"/>
          <c:min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208240"/>
        <c:crosses val="autoZero"/>
        <c:crossBetween val="midCat"/>
      </c:valAx>
      <c:valAx>
        <c:axId val="2092082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083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Лист2!$C$43</c:f>
              <c:strCache>
                <c:ptCount val="1"/>
                <c:pt idx="0">
                  <c:v>СО2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Лист2!$B$44:$B$55</c:f>
              <c:numCache>
                <c:formatCode>General</c:formatCode>
                <c:ptCount val="12"/>
                <c:pt idx="0">
                  <c:v>650</c:v>
                </c:pt>
                <c:pt idx="1">
                  <c:v>660</c:v>
                </c:pt>
                <c:pt idx="2">
                  <c:v>670</c:v>
                </c:pt>
                <c:pt idx="3">
                  <c:v>680</c:v>
                </c:pt>
                <c:pt idx="4">
                  <c:v>690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  <c:pt idx="11">
                  <c:v>1000</c:v>
                </c:pt>
              </c:numCache>
            </c:numRef>
          </c:xVal>
          <c:yVal>
            <c:numRef>
              <c:f>Лист2!$C$44:$C$55</c:f>
              <c:numCache>
                <c:formatCode>General</c:formatCode>
                <c:ptCount val="12"/>
                <c:pt idx="1">
                  <c:v>1.2972915288814007E-2</c:v>
                </c:pt>
                <c:pt idx="2">
                  <c:v>6.8156693224382696E-3</c:v>
                </c:pt>
                <c:pt idx="3">
                  <c:v>1.4730325330911601E-2</c:v>
                </c:pt>
                <c:pt idx="4">
                  <c:v>1.358975791703626E-2</c:v>
                </c:pt>
                <c:pt idx="5">
                  <c:v>1.2391059652230517E-2</c:v>
                </c:pt>
                <c:pt idx="6">
                  <c:v>7.0488836849293881E-3</c:v>
                </c:pt>
                <c:pt idx="7">
                  <c:v>3.5580937504240402E-3</c:v>
                </c:pt>
                <c:pt idx="8">
                  <c:v>1.7210346007251092E-3</c:v>
                </c:pt>
                <c:pt idx="9">
                  <c:v>8.4107249891206932E-4</c:v>
                </c:pt>
                <c:pt idx="10">
                  <c:v>4.2586740945509767E-4</c:v>
                </c:pt>
                <c:pt idx="11">
                  <c:v>2.2533671212768307E-4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79-F84D-9126-EEC845ADFC50}"/>
            </c:ext>
          </c:extLst>
        </c:ser>
        <c:ser>
          <c:idx val="1"/>
          <c:order val="1"/>
          <c:tx>
            <c:strRef>
              <c:f>Лист2!$D$43</c:f>
              <c:strCache>
                <c:ptCount val="1"/>
                <c:pt idx="0">
                  <c:v>СО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Лист2!$B$44:$B$55</c:f>
              <c:numCache>
                <c:formatCode>General</c:formatCode>
                <c:ptCount val="12"/>
                <c:pt idx="0">
                  <c:v>650</c:v>
                </c:pt>
                <c:pt idx="1">
                  <c:v>660</c:v>
                </c:pt>
                <c:pt idx="2">
                  <c:v>670</c:v>
                </c:pt>
                <c:pt idx="3">
                  <c:v>680</c:v>
                </c:pt>
                <c:pt idx="4">
                  <c:v>690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  <c:pt idx="11">
                  <c:v>1000</c:v>
                </c:pt>
              </c:numCache>
            </c:numRef>
          </c:xVal>
          <c:yVal>
            <c:numRef>
              <c:f>Лист2!$D$44:$D$55</c:f>
              <c:numCache>
                <c:formatCode>General</c:formatCode>
                <c:ptCount val="12"/>
                <c:pt idx="1">
                  <c:v>7.2716326323561634E-2</c:v>
                </c:pt>
                <c:pt idx="2">
                  <c:v>7.9910153518892607E-2</c:v>
                </c:pt>
                <c:pt idx="3">
                  <c:v>7.8853137052786182E-2</c:v>
                </c:pt>
                <c:pt idx="4">
                  <c:v>8.4843484006102504E-2</c:v>
                </c:pt>
                <c:pt idx="5">
                  <c:v>9.0503896998506778E-2</c:v>
                </c:pt>
                <c:pt idx="6">
                  <c:v>0.11457065612910225</c:v>
                </c:pt>
                <c:pt idx="7">
                  <c:v>0.1298297006410043</c:v>
                </c:pt>
                <c:pt idx="8">
                  <c:v>0.13777203242005984</c:v>
                </c:pt>
                <c:pt idx="9">
                  <c:v>0.14146904583311731</c:v>
                </c:pt>
                <c:pt idx="10">
                  <c:v>0.14307841062470983</c:v>
                </c:pt>
                <c:pt idx="11">
                  <c:v>0.14372812523919201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79-F84D-9126-EEC845ADFC50}"/>
            </c:ext>
          </c:extLst>
        </c:ser>
        <c:ser>
          <c:idx val="2"/>
          <c:order val="2"/>
          <c:tx>
            <c:strRef>
              <c:f>Лист2!$E$43</c:f>
              <c:strCache>
                <c:ptCount val="1"/>
                <c:pt idx="0">
                  <c:v>Н2О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Лист2!$B$44:$B$55</c:f>
              <c:numCache>
                <c:formatCode>General</c:formatCode>
                <c:ptCount val="12"/>
                <c:pt idx="0">
                  <c:v>650</c:v>
                </c:pt>
                <c:pt idx="1">
                  <c:v>660</c:v>
                </c:pt>
                <c:pt idx="2">
                  <c:v>670</c:v>
                </c:pt>
                <c:pt idx="3">
                  <c:v>680</c:v>
                </c:pt>
                <c:pt idx="4">
                  <c:v>690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  <c:pt idx="11">
                  <c:v>1000</c:v>
                </c:pt>
              </c:numCache>
            </c:numRef>
          </c:xVal>
          <c:yVal>
            <c:numRef>
              <c:f>Лист2!$E$44:$E$55</c:f>
              <c:numCache>
                <c:formatCode>General</c:formatCode>
                <c:ptCount val="12"/>
                <c:pt idx="1">
                  <c:v>7.5062478017338286E-2</c:v>
                </c:pt>
                <c:pt idx="2">
                  <c:v>7.8074702054822961E-2</c:v>
                </c:pt>
                <c:pt idx="3">
                  <c:v>6.1685660104970994E-2</c:v>
                </c:pt>
                <c:pt idx="4">
                  <c:v>5.5900777204119984E-2</c:v>
                </c:pt>
                <c:pt idx="5">
                  <c:v>5.0764764312570584E-2</c:v>
                </c:pt>
                <c:pt idx="6">
                  <c:v>3.0005871442805594E-2</c:v>
                </c:pt>
                <c:pt idx="7">
                  <c:v>1.6843799727882122E-2</c:v>
                </c:pt>
                <c:pt idx="8">
                  <c:v>9.3649598305002944E-3</c:v>
                </c:pt>
                <c:pt idx="9">
                  <c:v>5.3060466626457517E-3</c:v>
                </c:pt>
                <c:pt idx="10">
                  <c:v>3.1041925879546984E-3</c:v>
                </c:pt>
                <c:pt idx="11">
                  <c:v>1.8826397789353801E-3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79-F84D-9126-EEC845ADFC50}"/>
            </c:ext>
          </c:extLst>
        </c:ser>
        <c:ser>
          <c:idx val="3"/>
          <c:order val="3"/>
          <c:tx>
            <c:strRef>
              <c:f>Лист2!$F$43</c:f>
              <c:strCache>
                <c:ptCount val="1"/>
                <c:pt idx="0">
                  <c:v>Н2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Лист2!$B$44:$B$55</c:f>
              <c:numCache>
                <c:formatCode>General</c:formatCode>
                <c:ptCount val="12"/>
                <c:pt idx="0">
                  <c:v>650</c:v>
                </c:pt>
                <c:pt idx="1">
                  <c:v>660</c:v>
                </c:pt>
                <c:pt idx="2">
                  <c:v>670</c:v>
                </c:pt>
                <c:pt idx="3">
                  <c:v>680</c:v>
                </c:pt>
                <c:pt idx="4">
                  <c:v>690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  <c:pt idx="11">
                  <c:v>1000</c:v>
                </c:pt>
              </c:numCache>
            </c:numRef>
          </c:xVal>
          <c:yVal>
            <c:numRef>
              <c:f>Лист2!$F$44:$F$55</c:f>
              <c:numCache>
                <c:formatCode>General</c:formatCode>
                <c:ptCount val="12"/>
                <c:pt idx="1">
                  <c:v>0.57717353347462219</c:v>
                </c:pt>
                <c:pt idx="2">
                  <c:v>0.5786929095079929</c:v>
                </c:pt>
                <c:pt idx="3">
                  <c:v>0.59836597484894849</c:v>
                </c:pt>
                <c:pt idx="4">
                  <c:v>0.60826120872068912</c:v>
                </c:pt>
                <c:pt idx="5">
                  <c:v>0.61713506876480451</c:v>
                </c:pt>
                <c:pt idx="6">
                  <c:v>0.65264553867401365</c:v>
                </c:pt>
                <c:pt idx="7">
                  <c:v>0.67557682453264822</c:v>
                </c:pt>
                <c:pt idx="8">
                  <c:v>0.68947691726547911</c:v>
                </c:pt>
                <c:pt idx="9">
                  <c:v>0.69777947835017973</c:v>
                </c:pt>
                <c:pt idx="10">
                  <c:v>0.70282713134889585</c:v>
                </c:pt>
                <c:pt idx="11">
                  <c:v>0.70599448333629922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79-F84D-9126-EEC845ADFC50}"/>
            </c:ext>
          </c:extLst>
        </c:ser>
        <c:ser>
          <c:idx val="4"/>
          <c:order val="4"/>
          <c:tx>
            <c:strRef>
              <c:f>Лист2!$G$43</c:f>
              <c:strCache>
                <c:ptCount val="1"/>
                <c:pt idx="0">
                  <c:v>СН4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Лист2!$B$45:$B$55</c:f>
              <c:numCache>
                <c:formatCode>General</c:formatCode>
                <c:ptCount val="11"/>
                <c:pt idx="0">
                  <c:v>660</c:v>
                </c:pt>
                <c:pt idx="1">
                  <c:v>670</c:v>
                </c:pt>
                <c:pt idx="2">
                  <c:v>680</c:v>
                </c:pt>
                <c:pt idx="3">
                  <c:v>690</c:v>
                </c:pt>
                <c:pt idx="4">
                  <c:v>700</c:v>
                </c:pt>
                <c:pt idx="5">
                  <c:v>750</c:v>
                </c:pt>
                <c:pt idx="6">
                  <c:v>800</c:v>
                </c:pt>
                <c:pt idx="7">
                  <c:v>850</c:v>
                </c:pt>
                <c:pt idx="8">
                  <c:v>900</c:v>
                </c:pt>
                <c:pt idx="9">
                  <c:v>950</c:v>
                </c:pt>
                <c:pt idx="10">
                  <c:v>1000</c:v>
                </c:pt>
              </c:numCache>
            </c:numRef>
          </c:xVal>
          <c:yVal>
            <c:numRef>
              <c:f>Лист2!$G$45:$G$55</c:f>
              <c:numCache>
                <c:formatCode>General</c:formatCode>
                <c:ptCount val="11"/>
                <c:pt idx="0">
                  <c:v>0.10819358155033958</c:v>
                </c:pt>
                <c:pt idx="1">
                  <c:v>0.10065667976507237</c:v>
                </c:pt>
                <c:pt idx="2">
                  <c:v>9.49728020719912E-2</c:v>
                </c:pt>
                <c:pt idx="3">
                  <c:v>8.7728449648332971E-2</c:v>
                </c:pt>
                <c:pt idx="4">
                  <c:v>8.117703500015841E-2</c:v>
                </c:pt>
                <c:pt idx="5">
                  <c:v>5.5360032296006938E-2</c:v>
                </c:pt>
                <c:pt idx="6">
                  <c:v>3.8263907544071059E-2</c:v>
                </c:pt>
                <c:pt idx="7">
                  <c:v>2.7026715082036083E-2</c:v>
                </c:pt>
                <c:pt idx="8">
                  <c:v>1.9600331227555227E-2</c:v>
                </c:pt>
                <c:pt idx="9">
                  <c:v>1.4620183110511558E-2</c:v>
                </c:pt>
                <c:pt idx="10">
                  <c:v>1.1215034548339544E-2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79-F84D-9126-EEC845ADFC50}"/>
            </c:ext>
          </c:extLst>
        </c:ser>
        <c:ser>
          <c:idx val="7"/>
          <c:order val="5"/>
          <c:tx>
            <c:strRef>
              <c:f>Лист2!$J$43</c:f>
              <c:strCache>
                <c:ptCount val="1"/>
                <c:pt idx="0">
                  <c:v>С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Лист2!$B$44:$B$55</c:f>
              <c:numCache>
                <c:formatCode>General</c:formatCode>
                <c:ptCount val="12"/>
                <c:pt idx="0">
                  <c:v>650</c:v>
                </c:pt>
                <c:pt idx="1">
                  <c:v>660</c:v>
                </c:pt>
                <c:pt idx="2">
                  <c:v>670</c:v>
                </c:pt>
                <c:pt idx="3">
                  <c:v>680</c:v>
                </c:pt>
                <c:pt idx="4">
                  <c:v>690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  <c:pt idx="11">
                  <c:v>1000</c:v>
                </c:pt>
              </c:numCache>
            </c:numRef>
          </c:xVal>
          <c:yVal>
            <c:numRef>
              <c:f>Лист2!$J$44:$J$55</c:f>
              <c:numCache>
                <c:formatCode>General</c:formatCode>
                <c:ptCount val="12"/>
                <c:pt idx="1">
                  <c:v>0.15388116534532442</c:v>
                </c:pt>
                <c:pt idx="2">
                  <c:v>0.15584988583078097</c:v>
                </c:pt>
                <c:pt idx="3">
                  <c:v>0.15139210059039163</c:v>
                </c:pt>
                <c:pt idx="4">
                  <c:v>0.14967632250371909</c:v>
                </c:pt>
                <c:pt idx="5">
                  <c:v>0.14802817527172921</c:v>
                </c:pt>
                <c:pt idx="6">
                  <c:v>0.14036901777314226</c:v>
                </c:pt>
                <c:pt idx="7">
                  <c:v>0.13592767380397022</c:v>
                </c:pt>
                <c:pt idx="8">
                  <c:v>0.13463834080119963</c:v>
                </c:pt>
                <c:pt idx="9">
                  <c:v>0.1350040254275898</c:v>
                </c:pt>
                <c:pt idx="10">
                  <c:v>0.13594421491847294</c:v>
                </c:pt>
                <c:pt idx="11">
                  <c:v>0.13695438038510629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79-F84D-9126-EEC845ADF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53088"/>
        <c:axId val="234254736"/>
      </c:scatterChart>
      <c:valAx>
        <c:axId val="234253088"/>
        <c:scaling>
          <c:orientation val="minMax"/>
          <c:min val="6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4254736"/>
        <c:crosses val="autoZero"/>
        <c:crossBetween val="midCat"/>
      </c:valAx>
      <c:valAx>
        <c:axId val="234254736"/>
        <c:scaling>
          <c:orientation val="minMax"/>
          <c:max val="0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425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Лист2!$R$4</c:f>
              <c:strCache>
                <c:ptCount val="1"/>
                <c:pt idx="0">
                  <c:v>СО2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Лист2!$Q$6:$Q$19</c:f>
              <c:numCache>
                <c:formatCode>General</c:formatCode>
                <c:ptCount val="14"/>
                <c:pt idx="0">
                  <c:v>555</c:v>
                </c:pt>
                <c:pt idx="1">
                  <c:v>560</c:v>
                </c:pt>
                <c:pt idx="2">
                  <c:v>570</c:v>
                </c:pt>
                <c:pt idx="3">
                  <c:v>580</c:v>
                </c:pt>
                <c:pt idx="4">
                  <c:v>590</c:v>
                </c:pt>
                <c:pt idx="5">
                  <c:v>600</c:v>
                </c:pt>
                <c:pt idx="6">
                  <c:v>650</c:v>
                </c:pt>
                <c:pt idx="7">
                  <c:v>700</c:v>
                </c:pt>
                <c:pt idx="8">
                  <c:v>750</c:v>
                </c:pt>
                <c:pt idx="9">
                  <c:v>800</c:v>
                </c:pt>
                <c:pt idx="10">
                  <c:v>850</c:v>
                </c:pt>
                <c:pt idx="11">
                  <c:v>900</c:v>
                </c:pt>
                <c:pt idx="12">
                  <c:v>950</c:v>
                </c:pt>
                <c:pt idx="13">
                  <c:v>1000</c:v>
                </c:pt>
              </c:numCache>
            </c:numRef>
          </c:xVal>
          <c:yVal>
            <c:numRef>
              <c:f>Лист2!$R$6:$R$19</c:f>
              <c:numCache>
                <c:formatCode>General</c:formatCode>
                <c:ptCount val="14"/>
                <c:pt idx="0">
                  <c:v>0.10425677256550193</c:v>
                </c:pt>
                <c:pt idx="1">
                  <c:v>9.978632374492992E-2</c:v>
                </c:pt>
                <c:pt idx="2">
                  <c:v>0.10410774495490169</c:v>
                </c:pt>
                <c:pt idx="3">
                  <c:v>0.10570067997247742</c:v>
                </c:pt>
                <c:pt idx="4">
                  <c:v>0.10452953424777733</c:v>
                </c:pt>
                <c:pt idx="5">
                  <c:v>0.10306974333771241</c:v>
                </c:pt>
                <c:pt idx="6">
                  <c:v>9.2082380188334187E-2</c:v>
                </c:pt>
                <c:pt idx="7">
                  <c:v>8.0265958913978919E-2</c:v>
                </c:pt>
                <c:pt idx="8">
                  <c:v>7.0861148285323458E-2</c:v>
                </c:pt>
                <c:pt idx="9">
                  <c:v>6.3457684727468405E-2</c:v>
                </c:pt>
                <c:pt idx="10">
                  <c:v>5.7299183924832187E-2</c:v>
                </c:pt>
                <c:pt idx="11">
                  <c:v>5.2022667228154573E-2</c:v>
                </c:pt>
                <c:pt idx="12">
                  <c:v>4.7447006603715869E-2</c:v>
                </c:pt>
                <c:pt idx="13">
                  <c:v>4.3455268203001864E-2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CD-3444-9CE5-DDE87E0349B0}"/>
            </c:ext>
          </c:extLst>
        </c:ser>
        <c:ser>
          <c:idx val="1"/>
          <c:order val="1"/>
          <c:tx>
            <c:strRef>
              <c:f>Лист2!$S$4</c:f>
              <c:strCache>
                <c:ptCount val="1"/>
                <c:pt idx="0">
                  <c:v>СО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Лист2!$Q$6:$Q$19</c:f>
              <c:numCache>
                <c:formatCode>General</c:formatCode>
                <c:ptCount val="14"/>
                <c:pt idx="0">
                  <c:v>555</c:v>
                </c:pt>
                <c:pt idx="1">
                  <c:v>560</c:v>
                </c:pt>
                <c:pt idx="2">
                  <c:v>570</c:v>
                </c:pt>
                <c:pt idx="3">
                  <c:v>580</c:v>
                </c:pt>
                <c:pt idx="4">
                  <c:v>590</c:v>
                </c:pt>
                <c:pt idx="5">
                  <c:v>600</c:v>
                </c:pt>
                <c:pt idx="6">
                  <c:v>650</c:v>
                </c:pt>
                <c:pt idx="7">
                  <c:v>700</c:v>
                </c:pt>
                <c:pt idx="8">
                  <c:v>750</c:v>
                </c:pt>
                <c:pt idx="9">
                  <c:v>800</c:v>
                </c:pt>
                <c:pt idx="10">
                  <c:v>850</c:v>
                </c:pt>
                <c:pt idx="11">
                  <c:v>900</c:v>
                </c:pt>
                <c:pt idx="12">
                  <c:v>950</c:v>
                </c:pt>
                <c:pt idx="13">
                  <c:v>1000</c:v>
                </c:pt>
              </c:numCache>
            </c:numRef>
          </c:xVal>
          <c:yVal>
            <c:numRef>
              <c:f>Лист2!$S$6:$S$19</c:f>
              <c:numCache>
                <c:formatCode>General</c:formatCode>
                <c:ptCount val="14"/>
                <c:pt idx="0">
                  <c:v>3.0290503683207508E-2</c:v>
                </c:pt>
                <c:pt idx="1">
                  <c:v>2.9207074308211987E-2</c:v>
                </c:pt>
                <c:pt idx="2">
                  <c:v>3.9615712067616445E-2</c:v>
                </c:pt>
                <c:pt idx="3">
                  <c:v>4.6921589053249779E-2</c:v>
                </c:pt>
                <c:pt idx="4">
                  <c:v>5.1998603567468417E-2</c:v>
                </c:pt>
                <c:pt idx="5">
                  <c:v>5.8937811343102484E-2</c:v>
                </c:pt>
                <c:pt idx="6">
                  <c:v>8.9413459454611655E-2</c:v>
                </c:pt>
                <c:pt idx="7">
                  <c:v>0.11282135230196717</c:v>
                </c:pt>
                <c:pt idx="8">
                  <c:v>0.12690624864777286</c:v>
                </c:pt>
                <c:pt idx="9">
                  <c:v>0.13581692565257894</c:v>
                </c:pt>
                <c:pt idx="10">
                  <c:v>0.14244684664412752</c:v>
                </c:pt>
                <c:pt idx="11">
                  <c:v>0.14788015918256187</c:v>
                </c:pt>
                <c:pt idx="12">
                  <c:v>0.15251249025352226</c:v>
                </c:pt>
                <c:pt idx="13">
                  <c:v>0.15652647062477795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CD-3444-9CE5-DDE87E0349B0}"/>
            </c:ext>
          </c:extLst>
        </c:ser>
        <c:ser>
          <c:idx val="2"/>
          <c:order val="2"/>
          <c:tx>
            <c:strRef>
              <c:f>Лист2!$T$4</c:f>
              <c:strCache>
                <c:ptCount val="1"/>
                <c:pt idx="0">
                  <c:v>Н2О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Лист2!$Q$5:$Q$19</c:f>
              <c:numCache>
                <c:formatCode>General</c:formatCode>
                <c:ptCount val="15"/>
                <c:pt idx="0">
                  <c:v>550</c:v>
                </c:pt>
                <c:pt idx="1">
                  <c:v>555</c:v>
                </c:pt>
                <c:pt idx="2">
                  <c:v>560</c:v>
                </c:pt>
                <c:pt idx="3">
                  <c:v>570</c:v>
                </c:pt>
                <c:pt idx="4">
                  <c:v>580</c:v>
                </c:pt>
                <c:pt idx="5">
                  <c:v>590</c:v>
                </c:pt>
                <c:pt idx="6">
                  <c:v>600</c:v>
                </c:pt>
                <c:pt idx="7">
                  <c:v>650</c:v>
                </c:pt>
                <c:pt idx="8">
                  <c:v>700</c:v>
                </c:pt>
                <c:pt idx="9">
                  <c:v>750</c:v>
                </c:pt>
                <c:pt idx="10">
                  <c:v>800</c:v>
                </c:pt>
                <c:pt idx="11">
                  <c:v>850</c:v>
                </c:pt>
                <c:pt idx="12">
                  <c:v>900</c:v>
                </c:pt>
                <c:pt idx="13">
                  <c:v>950</c:v>
                </c:pt>
                <c:pt idx="14">
                  <c:v>1000</c:v>
                </c:pt>
              </c:numCache>
            </c:numRef>
          </c:xVal>
          <c:yVal>
            <c:numRef>
              <c:f>Лист2!$T$5:$T$19</c:f>
              <c:numCache>
                <c:formatCode>General</c:formatCode>
                <c:ptCount val="15"/>
                <c:pt idx="0">
                  <c:v>0.389012264453652</c:v>
                </c:pt>
                <c:pt idx="1">
                  <c:v>0.37185337293059118</c:v>
                </c:pt>
                <c:pt idx="2">
                  <c:v>0.35522028066590139</c:v>
                </c:pt>
                <c:pt idx="3">
                  <c:v>0.33042384306606226</c:v>
                </c:pt>
                <c:pt idx="4">
                  <c:v>0.32096043440228583</c:v>
                </c:pt>
                <c:pt idx="5">
                  <c:v>0.31220309486132952</c:v>
                </c:pt>
                <c:pt idx="6">
                  <c:v>0.29857623327859101</c:v>
                </c:pt>
                <c:pt idx="7">
                  <c:v>0.25726199149201973</c:v>
                </c:pt>
                <c:pt idx="8">
                  <c:v>0.23816787784991936</c:v>
                </c:pt>
                <c:pt idx="9">
                  <c:v>0.23509245989308625</c:v>
                </c:pt>
                <c:pt idx="10">
                  <c:v>0.23847668759240548</c:v>
                </c:pt>
                <c:pt idx="11">
                  <c:v>0.2433780678912752</c:v>
                </c:pt>
                <c:pt idx="12">
                  <c:v>0.24823646234326818</c:v>
                </c:pt>
                <c:pt idx="13">
                  <c:v>0.25266100177698236</c:v>
                </c:pt>
                <c:pt idx="14">
                  <c:v>0.25659342825625059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CD-3444-9CE5-DDE87E0349B0}"/>
            </c:ext>
          </c:extLst>
        </c:ser>
        <c:ser>
          <c:idx val="3"/>
          <c:order val="3"/>
          <c:tx>
            <c:strRef>
              <c:f>Лист2!$U$4</c:f>
              <c:strCache>
                <c:ptCount val="1"/>
                <c:pt idx="0">
                  <c:v>Н2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Лист2!$Q$5:$Q$19</c:f>
              <c:numCache>
                <c:formatCode>General</c:formatCode>
                <c:ptCount val="15"/>
                <c:pt idx="0">
                  <c:v>550</c:v>
                </c:pt>
                <c:pt idx="1">
                  <c:v>555</c:v>
                </c:pt>
                <c:pt idx="2">
                  <c:v>560</c:v>
                </c:pt>
                <c:pt idx="3">
                  <c:v>570</c:v>
                </c:pt>
                <c:pt idx="4">
                  <c:v>580</c:v>
                </c:pt>
                <c:pt idx="5">
                  <c:v>590</c:v>
                </c:pt>
                <c:pt idx="6">
                  <c:v>600</c:v>
                </c:pt>
                <c:pt idx="7">
                  <c:v>650</c:v>
                </c:pt>
                <c:pt idx="8">
                  <c:v>700</c:v>
                </c:pt>
                <c:pt idx="9">
                  <c:v>750</c:v>
                </c:pt>
                <c:pt idx="10">
                  <c:v>800</c:v>
                </c:pt>
                <c:pt idx="11">
                  <c:v>850</c:v>
                </c:pt>
                <c:pt idx="12">
                  <c:v>900</c:v>
                </c:pt>
                <c:pt idx="13">
                  <c:v>950</c:v>
                </c:pt>
                <c:pt idx="14">
                  <c:v>1000</c:v>
                </c:pt>
              </c:numCache>
            </c:numRef>
          </c:xVal>
          <c:yVal>
            <c:numRef>
              <c:f>Лист2!$U$5:$U$19</c:f>
              <c:numCache>
                <c:formatCode>General</c:formatCode>
                <c:ptCount val="15"/>
                <c:pt idx="0">
                  <c:v>0.32546804334483448</c:v>
                </c:pt>
                <c:pt idx="1">
                  <c:v>0.35300721821029046</c:v>
                </c:pt>
                <c:pt idx="2">
                  <c:v>0.37509957090903046</c:v>
                </c:pt>
                <c:pt idx="3">
                  <c:v>0.41140705014274515</c:v>
                </c:pt>
                <c:pt idx="4">
                  <c:v>0.44529230671685427</c:v>
                </c:pt>
                <c:pt idx="5">
                  <c:v>0.45584558406117648</c:v>
                </c:pt>
                <c:pt idx="6">
                  <c:v>0.47374492355466669</c:v>
                </c:pt>
                <c:pt idx="7">
                  <c:v>0.53040189222640743</c:v>
                </c:pt>
                <c:pt idx="8">
                  <c:v>0.55722366294878578</c:v>
                </c:pt>
                <c:pt idx="9">
                  <c:v>0.56341913806231148</c:v>
                </c:pt>
                <c:pt idx="10">
                  <c:v>0.5610397193276262</c:v>
                </c:pt>
                <c:pt idx="11">
                  <c:v>0.5564526191546979</c:v>
                </c:pt>
                <c:pt idx="12">
                  <c:v>0.55169875526387602</c:v>
                </c:pt>
                <c:pt idx="13">
                  <c:v>0.54731199612784287</c:v>
                </c:pt>
                <c:pt idx="14">
                  <c:v>0.54339439762893493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CD-3444-9CE5-DDE87E0349B0}"/>
            </c:ext>
          </c:extLst>
        </c:ser>
        <c:ser>
          <c:idx val="4"/>
          <c:order val="4"/>
          <c:tx>
            <c:strRef>
              <c:f>Лист2!$V$4</c:f>
              <c:strCache>
                <c:ptCount val="1"/>
                <c:pt idx="0">
                  <c:v>СН4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Лист2!$Q$5:$Q$19</c:f>
              <c:numCache>
                <c:formatCode>General</c:formatCode>
                <c:ptCount val="15"/>
                <c:pt idx="0">
                  <c:v>550</c:v>
                </c:pt>
                <c:pt idx="1">
                  <c:v>555</c:v>
                </c:pt>
                <c:pt idx="2">
                  <c:v>560</c:v>
                </c:pt>
                <c:pt idx="3">
                  <c:v>570</c:v>
                </c:pt>
                <c:pt idx="4">
                  <c:v>580</c:v>
                </c:pt>
                <c:pt idx="5">
                  <c:v>590</c:v>
                </c:pt>
                <c:pt idx="6">
                  <c:v>600</c:v>
                </c:pt>
                <c:pt idx="7">
                  <c:v>650</c:v>
                </c:pt>
                <c:pt idx="8">
                  <c:v>700</c:v>
                </c:pt>
                <c:pt idx="9">
                  <c:v>750</c:v>
                </c:pt>
                <c:pt idx="10">
                  <c:v>800</c:v>
                </c:pt>
                <c:pt idx="11">
                  <c:v>850</c:v>
                </c:pt>
                <c:pt idx="12">
                  <c:v>900</c:v>
                </c:pt>
                <c:pt idx="13">
                  <c:v>950</c:v>
                </c:pt>
                <c:pt idx="14">
                  <c:v>1000</c:v>
                </c:pt>
              </c:numCache>
            </c:numRef>
          </c:xVal>
          <c:yVal>
            <c:numRef>
              <c:f>Лист2!$V$5:$V$19</c:f>
              <c:numCache>
                <c:formatCode>General</c:formatCode>
                <c:ptCount val="15"/>
                <c:pt idx="0">
                  <c:v>0.1403663588932044</c:v>
                </c:pt>
                <c:pt idx="1">
                  <c:v>0.12609564182540123</c:v>
                </c:pt>
                <c:pt idx="2">
                  <c:v>0.10204007618371264</c:v>
                </c:pt>
                <c:pt idx="3">
                  <c:v>9.1688589430381939E-2</c:v>
                </c:pt>
                <c:pt idx="4">
                  <c:v>8.0300336160822286E-2</c:v>
                </c:pt>
                <c:pt idx="5">
                  <c:v>7.4584274078229096E-2</c:v>
                </c:pt>
                <c:pt idx="6">
                  <c:v>6.4762246621065819E-2</c:v>
                </c:pt>
                <c:pt idx="7">
                  <c:v>3.0840227199426262E-2</c:v>
                </c:pt>
                <c:pt idx="8">
                  <c:v>1.1521147984522969E-2</c:v>
                </c:pt>
                <c:pt idx="9">
                  <c:v>3.7210051115059242E-3</c:v>
                </c:pt>
                <c:pt idx="10">
                  <c:v>1.208982699921124E-3</c:v>
                </c:pt>
                <c:pt idx="11">
                  <c:v>4.2328238506712427E-4</c:v>
                </c:pt>
                <c:pt idx="12">
                  <c:v>1.619559821392271E-4</c:v>
                </c:pt>
                <c:pt idx="13">
                  <c:v>6.7505237936436367E-5</c:v>
                </c:pt>
                <c:pt idx="14">
                  <c:v>3.0435287033086731E-5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CD-3444-9CE5-DDE87E0349B0}"/>
            </c:ext>
          </c:extLst>
        </c:ser>
        <c:ser>
          <c:idx val="5"/>
          <c:order val="5"/>
          <c:tx>
            <c:strRef>
              <c:f>Лист2!$W$4</c:f>
              <c:strCache>
                <c:ptCount val="1"/>
                <c:pt idx="0">
                  <c:v>О2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Лист2!$Q$10:$Q$19</c:f>
              <c:numCache>
                <c:formatCode>General</c:formatCode>
                <c:ptCount val="10"/>
                <c:pt idx="0">
                  <c:v>590</c:v>
                </c:pt>
                <c:pt idx="1">
                  <c:v>600</c:v>
                </c:pt>
                <c:pt idx="2">
                  <c:v>650</c:v>
                </c:pt>
                <c:pt idx="3">
                  <c:v>700</c:v>
                </c:pt>
                <c:pt idx="4">
                  <c:v>750</c:v>
                </c:pt>
                <c:pt idx="5">
                  <c:v>800</c:v>
                </c:pt>
                <c:pt idx="6">
                  <c:v>850</c:v>
                </c:pt>
                <c:pt idx="7">
                  <c:v>900</c:v>
                </c:pt>
                <c:pt idx="8">
                  <c:v>950</c:v>
                </c:pt>
                <c:pt idx="9">
                  <c:v>1000</c:v>
                </c:pt>
              </c:numCache>
            </c:numRef>
          </c:xVal>
          <c:yVal>
            <c:numRef>
              <c:f>Лист2!$W$10:$W$19</c:f>
              <c:numCache>
                <c:formatCode>General</c:formatCode>
                <c:ptCount val="10"/>
                <c:pt idx="0">
                  <c:v>4.2313820055974574E-24</c:v>
                </c:pt>
                <c:pt idx="1">
                  <c:v>3.6188806916493575E-24</c:v>
                </c:pt>
                <c:pt idx="2">
                  <c:v>3.8124544555170345E-23</c:v>
                </c:pt>
                <c:pt idx="3">
                  <c:v>7.2312684221764605E-22</c:v>
                </c:pt>
                <c:pt idx="4">
                  <c:v>1.3170351881536968E-20</c:v>
                </c:pt>
                <c:pt idx="5">
                  <c:v>2.0416483364263947E-19</c:v>
                </c:pt>
                <c:pt idx="6">
                  <c:v>2.559386546891802E-18</c:v>
                </c:pt>
                <c:pt idx="7">
                  <c:v>2.6014543656198566E-17</c:v>
                </c:pt>
                <c:pt idx="8">
                  <c:v>2.1840268763489235E-16</c:v>
                </c:pt>
                <c:pt idx="9">
                  <c:v>1.5456566347227576E-15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D4-864E-B7B6-85B71FE3710F}"/>
            </c:ext>
          </c:extLst>
        </c:ser>
        <c:ser>
          <c:idx val="7"/>
          <c:order val="6"/>
          <c:tx>
            <c:strRef>
              <c:f>Лист2!$Y$4</c:f>
              <c:strCache>
                <c:ptCount val="1"/>
                <c:pt idx="0">
                  <c:v>С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Лист2!$Q$5:$Q$19</c:f>
              <c:numCache>
                <c:formatCode>General</c:formatCode>
                <c:ptCount val="15"/>
                <c:pt idx="0">
                  <c:v>550</c:v>
                </c:pt>
                <c:pt idx="1">
                  <c:v>555</c:v>
                </c:pt>
                <c:pt idx="2">
                  <c:v>560</c:v>
                </c:pt>
                <c:pt idx="3">
                  <c:v>570</c:v>
                </c:pt>
                <c:pt idx="4">
                  <c:v>580</c:v>
                </c:pt>
                <c:pt idx="5">
                  <c:v>590</c:v>
                </c:pt>
                <c:pt idx="6">
                  <c:v>600</c:v>
                </c:pt>
                <c:pt idx="7">
                  <c:v>650</c:v>
                </c:pt>
                <c:pt idx="8">
                  <c:v>700</c:v>
                </c:pt>
                <c:pt idx="9">
                  <c:v>750</c:v>
                </c:pt>
                <c:pt idx="10">
                  <c:v>800</c:v>
                </c:pt>
                <c:pt idx="11">
                  <c:v>850</c:v>
                </c:pt>
                <c:pt idx="12">
                  <c:v>900</c:v>
                </c:pt>
                <c:pt idx="13">
                  <c:v>950</c:v>
                </c:pt>
                <c:pt idx="14">
                  <c:v>1000</c:v>
                </c:pt>
              </c:numCache>
            </c:numRef>
          </c:xVal>
          <c:yVal>
            <c:numRef>
              <c:f>Лист2!$Y$5:$Y$19</c:f>
              <c:numCache>
                <c:formatCode>General</c:formatCode>
                <c:ptCount val="15"/>
                <c:pt idx="0">
                  <c:v>1.5090143638452933E-2</c:v>
                </c:pt>
                <c:pt idx="1">
                  <c:v>1.4496490785007627E-2</c:v>
                </c:pt>
                <c:pt idx="2">
                  <c:v>3.8646674188213583E-2</c:v>
                </c:pt>
                <c:pt idx="3">
                  <c:v>2.2757060338292515E-2</c:v>
                </c:pt>
                <c:pt idx="4">
                  <c:v>8.2465369431030755E-4</c:v>
                </c:pt>
                <c:pt idx="5">
                  <c:v>8.3890918401918529E-4</c:v>
                </c:pt>
                <c:pt idx="6">
                  <c:v>9.0904186486170783E-4</c:v>
                </c:pt>
                <c:pt idx="7">
                  <c:v>4.9439200830248117E-8</c:v>
                </c:pt>
                <c:pt idx="8">
                  <c:v>8.2602562585481297E-13</c:v>
                </c:pt>
                <c:pt idx="9">
                  <c:v>5.592426578621201E-18</c:v>
                </c:pt>
                <c:pt idx="10">
                  <c:v>0</c:v>
                </c:pt>
                <c:pt idx="11">
                  <c:v>0</c:v>
                </c:pt>
                <c:pt idx="12">
                  <c:v>1.1105826391458499E-17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D4-864E-B7B6-85B71FE37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645504"/>
        <c:axId val="179633616"/>
      </c:scatterChart>
      <c:valAx>
        <c:axId val="152645504"/>
        <c:scaling>
          <c:orientation val="minMax"/>
          <c:min val="5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3616"/>
        <c:crosses val="autoZero"/>
        <c:crossBetween val="midCat"/>
      </c:valAx>
      <c:valAx>
        <c:axId val="1796336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645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Лист2!$AH$4</c:f>
              <c:strCache>
                <c:ptCount val="1"/>
                <c:pt idx="0">
                  <c:v>СО2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Лист2!$AG$5:$AG$17</c:f>
              <c:numCache>
                <c:formatCode>General</c:formatCode>
                <c:ptCount val="13"/>
                <c:pt idx="0">
                  <c:v>555</c:v>
                </c:pt>
                <c:pt idx="1">
                  <c:v>560</c:v>
                </c:pt>
                <c:pt idx="2">
                  <c:v>570</c:v>
                </c:pt>
                <c:pt idx="3">
                  <c:v>580</c:v>
                </c:pt>
                <c:pt idx="4">
                  <c:v>600</c:v>
                </c:pt>
                <c:pt idx="5">
                  <c:v>650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  <c:pt idx="11">
                  <c:v>950</c:v>
                </c:pt>
                <c:pt idx="12">
                  <c:v>1000</c:v>
                </c:pt>
              </c:numCache>
            </c:numRef>
          </c:xVal>
          <c:yVal>
            <c:numRef>
              <c:f>Лист2!$AH$5:$AH$17</c:f>
              <c:numCache>
                <c:formatCode>General</c:formatCode>
                <c:ptCount val="13"/>
                <c:pt idx="0">
                  <c:v>8.6092878717665924E-2</c:v>
                </c:pt>
                <c:pt idx="1">
                  <c:v>8.8344942277077509E-2</c:v>
                </c:pt>
                <c:pt idx="2">
                  <c:v>8.8477164842506784E-2</c:v>
                </c:pt>
                <c:pt idx="3">
                  <c:v>8.7781399607353483E-2</c:v>
                </c:pt>
                <c:pt idx="4">
                  <c:v>8.5451807956926043E-2</c:v>
                </c:pt>
                <c:pt idx="5">
                  <c:v>7.6430883135592667E-2</c:v>
                </c:pt>
                <c:pt idx="6">
                  <c:v>6.7067031171285818E-2</c:v>
                </c:pt>
                <c:pt idx="7">
                  <c:v>5.9538469948893905E-2</c:v>
                </c:pt>
                <c:pt idx="8">
                  <c:v>5.3445694907220079E-2</c:v>
                </c:pt>
                <c:pt idx="9">
                  <c:v>4.8299947855001427E-2</c:v>
                </c:pt>
                <c:pt idx="10">
                  <c:v>4.3865518499020463E-2</c:v>
                </c:pt>
                <c:pt idx="11">
                  <c:v>4.0011971095047595E-2</c:v>
                </c:pt>
                <c:pt idx="12">
                  <c:v>3.6647490384276463E-2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3E-E744-B226-4F1BB89134CD}"/>
            </c:ext>
          </c:extLst>
        </c:ser>
        <c:ser>
          <c:idx val="1"/>
          <c:order val="1"/>
          <c:tx>
            <c:strRef>
              <c:f>Лист2!$AI$4</c:f>
              <c:strCache>
                <c:ptCount val="1"/>
                <c:pt idx="0">
                  <c:v>СО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Лист2!$AG$6:$AG$17</c:f>
              <c:numCache>
                <c:formatCode>General</c:formatCode>
                <c:ptCount val="12"/>
                <c:pt idx="0">
                  <c:v>560</c:v>
                </c:pt>
                <c:pt idx="1">
                  <c:v>570</c:v>
                </c:pt>
                <c:pt idx="2">
                  <c:v>580</c:v>
                </c:pt>
                <c:pt idx="3">
                  <c:v>600</c:v>
                </c:pt>
                <c:pt idx="4">
                  <c:v>650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  <c:pt idx="11">
                  <c:v>1000</c:v>
                </c:pt>
              </c:numCache>
            </c:numRef>
          </c:xVal>
          <c:yVal>
            <c:numRef>
              <c:f>Лист2!$AI$6:$AI$17</c:f>
              <c:numCache>
                <c:formatCode>General</c:formatCode>
                <c:ptCount val="12"/>
                <c:pt idx="0">
                  <c:v>3.2895377835250449E-2</c:v>
                </c:pt>
                <c:pt idx="1">
                  <c:v>3.7677257576413208E-2</c:v>
                </c:pt>
                <c:pt idx="2">
                  <c:v>4.2586726541399909E-2</c:v>
                </c:pt>
                <c:pt idx="3">
                  <c:v>5.2979706600304981E-2</c:v>
                </c:pt>
                <c:pt idx="4">
                  <c:v>7.8420757649525136E-2</c:v>
                </c:pt>
                <c:pt idx="5">
                  <c:v>9.6764784880883609E-2</c:v>
                </c:pt>
                <c:pt idx="6">
                  <c:v>0.10762766567410645</c:v>
                </c:pt>
                <c:pt idx="7">
                  <c:v>0.11474528010102569</c:v>
                </c:pt>
                <c:pt idx="8">
                  <c:v>0.12020610970036963</c:v>
                </c:pt>
                <c:pt idx="9">
                  <c:v>0.12474474598508162</c:v>
                </c:pt>
                <c:pt idx="10">
                  <c:v>0.12863588430638992</c:v>
                </c:pt>
                <c:pt idx="11">
                  <c:v>0.13201510823916038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3E-E744-B226-4F1BB89134CD}"/>
            </c:ext>
          </c:extLst>
        </c:ser>
        <c:ser>
          <c:idx val="2"/>
          <c:order val="2"/>
          <c:tx>
            <c:strRef>
              <c:f>Лист2!$AJ$4</c:f>
              <c:strCache>
                <c:ptCount val="1"/>
                <c:pt idx="0">
                  <c:v>Н2О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Лист2!$AG$5:$AG$17</c:f>
              <c:numCache>
                <c:formatCode>General</c:formatCode>
                <c:ptCount val="13"/>
                <c:pt idx="0">
                  <c:v>555</c:v>
                </c:pt>
                <c:pt idx="1">
                  <c:v>560</c:v>
                </c:pt>
                <c:pt idx="2">
                  <c:v>570</c:v>
                </c:pt>
                <c:pt idx="3">
                  <c:v>580</c:v>
                </c:pt>
                <c:pt idx="4">
                  <c:v>600</c:v>
                </c:pt>
                <c:pt idx="5">
                  <c:v>650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  <c:pt idx="11">
                  <c:v>950</c:v>
                </c:pt>
                <c:pt idx="12">
                  <c:v>1000</c:v>
                </c:pt>
              </c:numCache>
            </c:numRef>
          </c:xVal>
          <c:yVal>
            <c:numRef>
              <c:f>Лист2!$AJ$5:$AJ$17</c:f>
              <c:numCache>
                <c:formatCode>General</c:formatCode>
                <c:ptCount val="13"/>
                <c:pt idx="0">
                  <c:v>0.27191947478227596</c:v>
                </c:pt>
                <c:pt idx="1">
                  <c:v>0.26881750218323591</c:v>
                </c:pt>
                <c:pt idx="2">
                  <c:v>0.26117760130172446</c:v>
                </c:pt>
                <c:pt idx="3">
                  <c:v>0.25237659386732419</c:v>
                </c:pt>
                <c:pt idx="4">
                  <c:v>0.23624780165668482</c:v>
                </c:pt>
                <c:pt idx="5">
                  <c:v>0.207997196038743</c:v>
                </c:pt>
                <c:pt idx="6">
                  <c:v>0.19695156871031605</c:v>
                </c:pt>
                <c:pt idx="7">
                  <c:v>0.19690213090792352</c:v>
                </c:pt>
                <c:pt idx="8">
                  <c:v>0.20066572552858489</c:v>
                </c:pt>
                <c:pt idx="9">
                  <c:v>0.20509537588263238</c:v>
                </c:pt>
                <c:pt idx="10">
                  <c:v>0.20929297130983543</c:v>
                </c:pt>
                <c:pt idx="11">
                  <c:v>0.21306108481077593</c:v>
                </c:pt>
                <c:pt idx="12">
                  <c:v>0.21639205819882024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F3E-E744-B226-4F1BB89134CD}"/>
            </c:ext>
          </c:extLst>
        </c:ser>
        <c:ser>
          <c:idx val="3"/>
          <c:order val="3"/>
          <c:tx>
            <c:strRef>
              <c:f>Лист2!$AK$4</c:f>
              <c:strCache>
                <c:ptCount val="1"/>
                <c:pt idx="0">
                  <c:v>Н2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Лист2!$AG$5:$AG$17</c:f>
              <c:numCache>
                <c:formatCode>General</c:formatCode>
                <c:ptCount val="13"/>
                <c:pt idx="0">
                  <c:v>555</c:v>
                </c:pt>
                <c:pt idx="1">
                  <c:v>560</c:v>
                </c:pt>
                <c:pt idx="2">
                  <c:v>570</c:v>
                </c:pt>
                <c:pt idx="3">
                  <c:v>580</c:v>
                </c:pt>
                <c:pt idx="4">
                  <c:v>600</c:v>
                </c:pt>
                <c:pt idx="5">
                  <c:v>650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  <c:pt idx="11">
                  <c:v>950</c:v>
                </c:pt>
                <c:pt idx="12">
                  <c:v>1000</c:v>
                </c:pt>
              </c:numCache>
            </c:numRef>
          </c:xVal>
          <c:yVal>
            <c:numRef>
              <c:f>Лист2!$AK$5:$AK$17</c:f>
              <c:numCache>
                <c:formatCode>General</c:formatCode>
                <c:ptCount val="13"/>
                <c:pt idx="0">
                  <c:v>0.34883144717851189</c:v>
                </c:pt>
                <c:pt idx="1">
                  <c:v>0.35869574346854605</c:v>
                </c:pt>
                <c:pt idx="2">
                  <c:v>0.37142394493240449</c:v>
                </c:pt>
                <c:pt idx="3">
                  <c:v>0.38383664732780742</c:v>
                </c:pt>
                <c:pt idx="4">
                  <c:v>0.40866264257961932</c:v>
                </c:pt>
                <c:pt idx="5">
                  <c:v>0.45312988890845268</c:v>
                </c:pt>
                <c:pt idx="6">
                  <c:v>0.47299239614044991</c:v>
                </c:pt>
                <c:pt idx="7">
                  <c:v>0.47631552952193135</c:v>
                </c:pt>
                <c:pt idx="8">
                  <c:v>0.47355814084314729</c:v>
                </c:pt>
                <c:pt idx="9">
                  <c:v>0.4694378442627607</c:v>
                </c:pt>
                <c:pt idx="10">
                  <c:v>0.46534256109273991</c:v>
                </c:pt>
                <c:pt idx="11">
                  <c:v>0.46161135503790812</c:v>
                </c:pt>
                <c:pt idx="12">
                  <c:v>0.45829485681328019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F3E-E744-B226-4F1BB89134CD}"/>
            </c:ext>
          </c:extLst>
        </c:ser>
        <c:ser>
          <c:idx val="4"/>
          <c:order val="4"/>
          <c:tx>
            <c:strRef>
              <c:f>Лист2!$AL$4</c:f>
              <c:strCache>
                <c:ptCount val="1"/>
                <c:pt idx="0">
                  <c:v>СН4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Лист2!$AG$5:$AG$17</c:f>
              <c:numCache>
                <c:formatCode>General</c:formatCode>
                <c:ptCount val="13"/>
                <c:pt idx="0">
                  <c:v>555</c:v>
                </c:pt>
                <c:pt idx="1">
                  <c:v>560</c:v>
                </c:pt>
                <c:pt idx="2">
                  <c:v>570</c:v>
                </c:pt>
                <c:pt idx="3">
                  <c:v>580</c:v>
                </c:pt>
                <c:pt idx="4">
                  <c:v>600</c:v>
                </c:pt>
                <c:pt idx="5">
                  <c:v>650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  <c:pt idx="11">
                  <c:v>950</c:v>
                </c:pt>
                <c:pt idx="12">
                  <c:v>1000</c:v>
                </c:pt>
              </c:numCache>
            </c:numRef>
          </c:xVal>
          <c:yVal>
            <c:numRef>
              <c:f>Лист2!$AL$5:$AL$17</c:f>
              <c:numCache>
                <c:formatCode>General</c:formatCode>
                <c:ptCount val="13"/>
                <c:pt idx="0">
                  <c:v>6.8254739469680192E-2</c:v>
                </c:pt>
                <c:pt idx="1">
                  <c:v>6.8965588832222133E-2</c:v>
                </c:pt>
                <c:pt idx="2">
                  <c:v>6.4346577733456492E-2</c:v>
                </c:pt>
                <c:pt idx="3">
                  <c:v>5.8314275101179092E-2</c:v>
                </c:pt>
                <c:pt idx="4">
                  <c:v>4.5649677218521444E-2</c:v>
                </c:pt>
                <c:pt idx="5">
                  <c:v>2.0860233493964892E-2</c:v>
                </c:pt>
                <c:pt idx="6">
                  <c:v>7.3083503216340232E-3</c:v>
                </c:pt>
                <c:pt idx="7">
                  <c:v>2.2765589689267623E-3</c:v>
                </c:pt>
                <c:pt idx="8">
                  <c:v>7.2998316937453579E-4</c:v>
                </c:pt>
                <c:pt idx="9">
                  <c:v>2.5449496170736367E-4</c:v>
                </c:pt>
                <c:pt idx="10">
                  <c:v>9.723723307868903E-5</c:v>
                </c:pt>
                <c:pt idx="11">
                  <c:v>4.0509121466845176E-5</c:v>
                </c:pt>
                <c:pt idx="12">
                  <c:v>1.8260259176577279E-5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F3E-E744-B226-4F1BB89134CD}"/>
            </c:ext>
          </c:extLst>
        </c:ser>
        <c:ser>
          <c:idx val="6"/>
          <c:order val="5"/>
          <c:tx>
            <c:strRef>
              <c:f>Лист2!$AN$4</c:f>
              <c:strCache>
                <c:ptCount val="1"/>
                <c:pt idx="0">
                  <c:v>N2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Лист2!$AG$5:$AG$17</c:f>
              <c:numCache>
                <c:formatCode>General</c:formatCode>
                <c:ptCount val="13"/>
                <c:pt idx="0">
                  <c:v>555</c:v>
                </c:pt>
                <c:pt idx="1">
                  <c:v>560</c:v>
                </c:pt>
                <c:pt idx="2">
                  <c:v>570</c:v>
                </c:pt>
                <c:pt idx="3">
                  <c:v>580</c:v>
                </c:pt>
                <c:pt idx="4">
                  <c:v>600</c:v>
                </c:pt>
                <c:pt idx="5">
                  <c:v>650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  <c:pt idx="11">
                  <c:v>950</c:v>
                </c:pt>
                <c:pt idx="12">
                  <c:v>1000</c:v>
                </c:pt>
              </c:numCache>
            </c:numRef>
          </c:xVal>
          <c:yVal>
            <c:numRef>
              <c:f>Лист2!$AN$5:$AN$17</c:f>
              <c:numCache>
                <c:formatCode>General</c:formatCode>
                <c:ptCount val="13"/>
                <c:pt idx="0">
                  <c:v>0.17579259306610584</c:v>
                </c:pt>
                <c:pt idx="1">
                  <c:v>0.1776924554126954</c:v>
                </c:pt>
                <c:pt idx="2">
                  <c:v>0.17672912718059905</c:v>
                </c:pt>
                <c:pt idx="3">
                  <c:v>0.17476684443156013</c:v>
                </c:pt>
                <c:pt idx="4">
                  <c:v>0.17090584612059845</c:v>
                </c:pt>
                <c:pt idx="5">
                  <c:v>0.16316103884208272</c:v>
                </c:pt>
                <c:pt idx="6">
                  <c:v>0.15891586877540076</c:v>
                </c:pt>
                <c:pt idx="7">
                  <c:v>0.15733964497821804</c:v>
                </c:pt>
                <c:pt idx="8">
                  <c:v>0.15685517545064742</c:v>
                </c:pt>
                <c:pt idx="9">
                  <c:v>0.15670622733740183</c:v>
                </c:pt>
                <c:pt idx="10">
                  <c:v>0.15665696588024153</c:v>
                </c:pt>
                <c:pt idx="11">
                  <c:v>0.15663919562841125</c:v>
                </c:pt>
                <c:pt idx="12">
                  <c:v>0.15663222610528388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53-0D47-ACED-927C6641C1BC}"/>
            </c:ext>
          </c:extLst>
        </c:ser>
        <c:ser>
          <c:idx val="7"/>
          <c:order val="6"/>
          <c:tx>
            <c:strRef>
              <c:f>Лист2!$AO$4</c:f>
              <c:strCache>
                <c:ptCount val="1"/>
                <c:pt idx="0">
                  <c:v>С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Лист2!$AG$5:$AG$17</c:f>
              <c:numCache>
                <c:formatCode>General</c:formatCode>
                <c:ptCount val="13"/>
                <c:pt idx="0">
                  <c:v>555</c:v>
                </c:pt>
                <c:pt idx="1">
                  <c:v>560</c:v>
                </c:pt>
                <c:pt idx="2">
                  <c:v>570</c:v>
                </c:pt>
                <c:pt idx="3">
                  <c:v>580</c:v>
                </c:pt>
                <c:pt idx="4">
                  <c:v>600</c:v>
                </c:pt>
                <c:pt idx="5">
                  <c:v>650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  <c:pt idx="11">
                  <c:v>950</c:v>
                </c:pt>
                <c:pt idx="12">
                  <c:v>1000</c:v>
                </c:pt>
              </c:numCache>
            </c:numRef>
          </c:xVal>
          <c:yVal>
            <c:numRef>
              <c:f>Лист2!$AO$5:$AO$17</c:f>
              <c:numCache>
                <c:formatCode>General</c:formatCode>
                <c:ptCount val="13"/>
                <c:pt idx="0">
                  <c:v>1.9926348440775288E-2</c:v>
                </c:pt>
                <c:pt idx="1">
                  <c:v>4.5883899909724022E-3</c:v>
                </c:pt>
                <c:pt idx="2">
                  <c:v>1.6832643289538602E-4</c:v>
                </c:pt>
                <c:pt idx="3">
                  <c:v>3.3751312337560461E-4</c:v>
                </c:pt>
                <c:pt idx="4">
                  <c:v>1.0251786734489086E-4</c:v>
                </c:pt>
                <c:pt idx="5">
                  <c:v>1.9316388122616487E-9</c:v>
                </c:pt>
                <c:pt idx="6">
                  <c:v>2.9783088305643198E-14</c:v>
                </c:pt>
                <c:pt idx="7">
                  <c:v>0</c:v>
                </c:pt>
                <c:pt idx="8">
                  <c:v>0</c:v>
                </c:pt>
                <c:pt idx="9">
                  <c:v>1.2661913894165833E-13</c:v>
                </c:pt>
                <c:pt idx="10">
                  <c:v>2.4443035344759341E-15</c:v>
                </c:pt>
                <c:pt idx="11">
                  <c:v>3.9797362584434101E-17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53-0D47-ACED-927C6641C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40880"/>
        <c:axId val="181229632"/>
      </c:scatterChart>
      <c:valAx>
        <c:axId val="226940880"/>
        <c:scaling>
          <c:orientation val="minMax"/>
          <c:min val="5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1229632"/>
        <c:crosses val="autoZero"/>
        <c:crossBetween val="midCat"/>
      </c:valAx>
      <c:valAx>
        <c:axId val="1812296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6940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Лист2!$C$61</c:f>
              <c:strCache>
                <c:ptCount val="1"/>
                <c:pt idx="0">
                  <c:v>СО2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Лист2!$B$62:$B$76</c:f>
              <c:numCache>
                <c:formatCode>General</c:formatCode>
                <c:ptCount val="15"/>
                <c:pt idx="0">
                  <c:v>615</c:v>
                </c:pt>
                <c:pt idx="1">
                  <c:v>620</c:v>
                </c:pt>
                <c:pt idx="2">
                  <c:v>625</c:v>
                </c:pt>
                <c:pt idx="3">
                  <c:v>630</c:v>
                </c:pt>
                <c:pt idx="4">
                  <c:v>640</c:v>
                </c:pt>
                <c:pt idx="5">
                  <c:v>650</c:v>
                </c:pt>
                <c:pt idx="6">
                  <c:v>670</c:v>
                </c:pt>
                <c:pt idx="7">
                  <c:v>680</c:v>
                </c:pt>
                <c:pt idx="8">
                  <c:v>700</c:v>
                </c:pt>
                <c:pt idx="9">
                  <c:v>750</c:v>
                </c:pt>
                <c:pt idx="10">
                  <c:v>800</c:v>
                </c:pt>
                <c:pt idx="11">
                  <c:v>850</c:v>
                </c:pt>
                <c:pt idx="12">
                  <c:v>900</c:v>
                </c:pt>
                <c:pt idx="13">
                  <c:v>950</c:v>
                </c:pt>
                <c:pt idx="14">
                  <c:v>1000</c:v>
                </c:pt>
              </c:numCache>
            </c:numRef>
          </c:xVal>
          <c:yVal>
            <c:numRef>
              <c:f>Лист2!$C$62:$C$76</c:f>
              <c:numCache>
                <c:formatCode>General</c:formatCode>
                <c:ptCount val="15"/>
                <c:pt idx="0">
                  <c:v>6.969255313782656E-2</c:v>
                </c:pt>
                <c:pt idx="1">
                  <c:v>7.0262025874621284E-2</c:v>
                </c:pt>
                <c:pt idx="2">
                  <c:v>6.9936441782761247E-2</c:v>
                </c:pt>
                <c:pt idx="3">
                  <c:v>6.5927804373428642E-2</c:v>
                </c:pt>
                <c:pt idx="4">
                  <c:v>6.4709452181326052E-2</c:v>
                </c:pt>
                <c:pt idx="5">
                  <c:v>6.2606682172223801E-2</c:v>
                </c:pt>
                <c:pt idx="6">
                  <c:v>5.6037783779193426E-2</c:v>
                </c:pt>
                <c:pt idx="7">
                  <c:v>5.2889492848631404E-2</c:v>
                </c:pt>
                <c:pt idx="8">
                  <c:v>4.6933410284249556E-2</c:v>
                </c:pt>
                <c:pt idx="9">
                  <c:v>3.5321227705264253E-2</c:v>
                </c:pt>
                <c:pt idx="10">
                  <c:v>2.8250522958982054E-2</c:v>
                </c:pt>
                <c:pt idx="11">
                  <c:v>2.3937838287254015E-2</c:v>
                </c:pt>
                <c:pt idx="12">
                  <c:v>2.0946696789527545E-2</c:v>
                </c:pt>
                <c:pt idx="13">
                  <c:v>1.8629866971571391E-2</c:v>
                </c:pt>
                <c:pt idx="14">
                  <c:v>1.6730564926676055E-2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0E-D748-9FFD-8E04C40A5D0C}"/>
            </c:ext>
          </c:extLst>
        </c:ser>
        <c:ser>
          <c:idx val="1"/>
          <c:order val="1"/>
          <c:tx>
            <c:strRef>
              <c:f>Лист2!$D$61</c:f>
              <c:strCache>
                <c:ptCount val="1"/>
                <c:pt idx="0">
                  <c:v>СО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Лист2!$B$62:$B$76</c:f>
              <c:numCache>
                <c:formatCode>General</c:formatCode>
                <c:ptCount val="15"/>
                <c:pt idx="0">
                  <c:v>615</c:v>
                </c:pt>
                <c:pt idx="1">
                  <c:v>620</c:v>
                </c:pt>
                <c:pt idx="2">
                  <c:v>625</c:v>
                </c:pt>
                <c:pt idx="3">
                  <c:v>630</c:v>
                </c:pt>
                <c:pt idx="4">
                  <c:v>640</c:v>
                </c:pt>
                <c:pt idx="5">
                  <c:v>650</c:v>
                </c:pt>
                <c:pt idx="6">
                  <c:v>670</c:v>
                </c:pt>
                <c:pt idx="7">
                  <c:v>680</c:v>
                </c:pt>
                <c:pt idx="8">
                  <c:v>700</c:v>
                </c:pt>
                <c:pt idx="9">
                  <c:v>750</c:v>
                </c:pt>
                <c:pt idx="10">
                  <c:v>800</c:v>
                </c:pt>
                <c:pt idx="11">
                  <c:v>850</c:v>
                </c:pt>
                <c:pt idx="12">
                  <c:v>900</c:v>
                </c:pt>
                <c:pt idx="13">
                  <c:v>950</c:v>
                </c:pt>
                <c:pt idx="14">
                  <c:v>1000</c:v>
                </c:pt>
              </c:numCache>
            </c:numRef>
          </c:xVal>
          <c:yVal>
            <c:numRef>
              <c:f>Лист2!$D$62:$D$76</c:f>
              <c:numCache>
                <c:formatCode>General</c:formatCode>
                <c:ptCount val="15"/>
                <c:pt idx="0">
                  <c:v>6.7780734594302131E-2</c:v>
                </c:pt>
                <c:pt idx="1">
                  <c:v>8.4175137314070281E-2</c:v>
                </c:pt>
                <c:pt idx="2">
                  <c:v>8.9868397448073581E-2</c:v>
                </c:pt>
                <c:pt idx="3">
                  <c:v>9.3016821273309513E-2</c:v>
                </c:pt>
                <c:pt idx="4">
                  <c:v>0.10019330273322494</c:v>
                </c:pt>
                <c:pt idx="5">
                  <c:v>0.11176213520629427</c:v>
                </c:pt>
                <c:pt idx="6">
                  <c:v>0.1281241051340429</c:v>
                </c:pt>
                <c:pt idx="7">
                  <c:v>0.1358978517583348</c:v>
                </c:pt>
                <c:pt idx="8">
                  <c:v>0.14996646209529113</c:v>
                </c:pt>
                <c:pt idx="9">
                  <c:v>0.17571110209915511</c:v>
                </c:pt>
                <c:pt idx="10">
                  <c:v>0.18962726968563773</c:v>
                </c:pt>
                <c:pt idx="11">
                  <c:v>0.19665523762479103</c:v>
                </c:pt>
                <c:pt idx="12">
                  <c:v>0.20064006257128905</c:v>
                </c:pt>
                <c:pt idx="13">
                  <c:v>0.20332682167945437</c:v>
                </c:pt>
                <c:pt idx="14">
                  <c:v>0.20537220211754054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0E-D748-9FFD-8E04C40A5D0C}"/>
            </c:ext>
          </c:extLst>
        </c:ser>
        <c:ser>
          <c:idx val="2"/>
          <c:order val="2"/>
          <c:tx>
            <c:strRef>
              <c:f>Лист2!$E$61</c:f>
              <c:strCache>
                <c:ptCount val="1"/>
                <c:pt idx="0">
                  <c:v>Н2О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Лист2!$B$62:$B$76</c:f>
              <c:numCache>
                <c:formatCode>General</c:formatCode>
                <c:ptCount val="15"/>
                <c:pt idx="0">
                  <c:v>615</c:v>
                </c:pt>
                <c:pt idx="1">
                  <c:v>620</c:v>
                </c:pt>
                <c:pt idx="2">
                  <c:v>625</c:v>
                </c:pt>
                <c:pt idx="3">
                  <c:v>630</c:v>
                </c:pt>
                <c:pt idx="4">
                  <c:v>640</c:v>
                </c:pt>
                <c:pt idx="5">
                  <c:v>650</c:v>
                </c:pt>
                <c:pt idx="6">
                  <c:v>670</c:v>
                </c:pt>
                <c:pt idx="7">
                  <c:v>680</c:v>
                </c:pt>
                <c:pt idx="8">
                  <c:v>700</c:v>
                </c:pt>
                <c:pt idx="9">
                  <c:v>750</c:v>
                </c:pt>
                <c:pt idx="10">
                  <c:v>800</c:v>
                </c:pt>
                <c:pt idx="11">
                  <c:v>850</c:v>
                </c:pt>
                <c:pt idx="12">
                  <c:v>900</c:v>
                </c:pt>
                <c:pt idx="13">
                  <c:v>950</c:v>
                </c:pt>
                <c:pt idx="14">
                  <c:v>1000</c:v>
                </c:pt>
              </c:numCache>
            </c:numRef>
          </c:xVal>
          <c:yVal>
            <c:numRef>
              <c:f>Лист2!$E$62:$E$76</c:f>
              <c:numCache>
                <c:formatCode>General</c:formatCode>
                <c:ptCount val="15"/>
                <c:pt idx="0">
                  <c:v>0.1934899200435006</c:v>
                </c:pt>
                <c:pt idx="1">
                  <c:v>0.17891958580209372</c:v>
                </c:pt>
                <c:pt idx="2">
                  <c:v>0.1763502892817474</c:v>
                </c:pt>
                <c:pt idx="3">
                  <c:v>0.16490949425029011</c:v>
                </c:pt>
                <c:pt idx="4">
                  <c:v>0.16178614575239794</c:v>
                </c:pt>
                <c:pt idx="5">
                  <c:v>0.15455409664166464</c:v>
                </c:pt>
                <c:pt idx="6">
                  <c:v>0.1386257143473183</c:v>
                </c:pt>
                <c:pt idx="7">
                  <c:v>0.13178532452716976</c:v>
                </c:pt>
                <c:pt idx="8">
                  <c:v>0.11988705969526785</c:v>
                </c:pt>
                <c:pt idx="9">
                  <c:v>0.1004076474418894</c:v>
                </c:pt>
                <c:pt idx="10">
                  <c:v>9.2418333222774054E-2</c:v>
                </c:pt>
                <c:pt idx="11">
                  <c:v>9.0757394706246802E-2</c:v>
                </c:pt>
                <c:pt idx="12">
                  <c:v>9.1562432616675959E-2</c:v>
                </c:pt>
                <c:pt idx="13">
                  <c:v>9.3065417996171948E-2</c:v>
                </c:pt>
                <c:pt idx="14">
                  <c:v>9.4643347576047393E-2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0E-D748-9FFD-8E04C40A5D0C}"/>
            </c:ext>
          </c:extLst>
        </c:ser>
        <c:ser>
          <c:idx val="3"/>
          <c:order val="3"/>
          <c:tx>
            <c:strRef>
              <c:f>Лист2!$F$61</c:f>
              <c:strCache>
                <c:ptCount val="1"/>
                <c:pt idx="0">
                  <c:v>Н2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Лист2!$B$62:$B$76</c:f>
              <c:numCache>
                <c:formatCode>General</c:formatCode>
                <c:ptCount val="15"/>
                <c:pt idx="0">
                  <c:v>615</c:v>
                </c:pt>
                <c:pt idx="1">
                  <c:v>620</c:v>
                </c:pt>
                <c:pt idx="2">
                  <c:v>625</c:v>
                </c:pt>
                <c:pt idx="3">
                  <c:v>630</c:v>
                </c:pt>
                <c:pt idx="4">
                  <c:v>640</c:v>
                </c:pt>
                <c:pt idx="5">
                  <c:v>650</c:v>
                </c:pt>
                <c:pt idx="6">
                  <c:v>670</c:v>
                </c:pt>
                <c:pt idx="7">
                  <c:v>680</c:v>
                </c:pt>
                <c:pt idx="8">
                  <c:v>700</c:v>
                </c:pt>
                <c:pt idx="9">
                  <c:v>750</c:v>
                </c:pt>
                <c:pt idx="10">
                  <c:v>800</c:v>
                </c:pt>
                <c:pt idx="11">
                  <c:v>850</c:v>
                </c:pt>
                <c:pt idx="12">
                  <c:v>900</c:v>
                </c:pt>
                <c:pt idx="13">
                  <c:v>950</c:v>
                </c:pt>
                <c:pt idx="14">
                  <c:v>1000</c:v>
                </c:pt>
              </c:numCache>
            </c:numRef>
          </c:xVal>
          <c:yVal>
            <c:numRef>
              <c:f>Лист2!$F$62:$F$76</c:f>
              <c:numCache>
                <c:formatCode>General</c:formatCode>
                <c:ptCount val="15"/>
                <c:pt idx="0">
                  <c:v>0.48160931441083366</c:v>
                </c:pt>
                <c:pt idx="1">
                  <c:v>0.54119201075365475</c:v>
                </c:pt>
                <c:pt idx="2">
                  <c:v>0.55015716821397165</c:v>
                </c:pt>
                <c:pt idx="3">
                  <c:v>0.56944555498491933</c:v>
                </c:pt>
                <c:pt idx="4">
                  <c:v>0.5700120495250397</c:v>
                </c:pt>
                <c:pt idx="5">
                  <c:v>0.58209796498064592</c:v>
                </c:pt>
                <c:pt idx="6">
                  <c:v>0.60888179788123575</c:v>
                </c:pt>
                <c:pt idx="7">
                  <c:v>0.6192282749657736</c:v>
                </c:pt>
                <c:pt idx="8">
                  <c:v>0.63762835712601951</c:v>
                </c:pt>
                <c:pt idx="9">
                  <c:v>0.66841821453066563</c:v>
                </c:pt>
                <c:pt idx="10">
                  <c:v>0.68188390089309603</c:v>
                </c:pt>
                <c:pt idx="11">
                  <c:v>0.68571706602338922</c:v>
                </c:pt>
                <c:pt idx="12">
                  <c:v>0.68570697487197729</c:v>
                </c:pt>
                <c:pt idx="13">
                  <c:v>0.68449993292464872</c:v>
                </c:pt>
                <c:pt idx="14">
                  <c:v>0.68303886605932573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0E-D748-9FFD-8E04C40A5D0C}"/>
            </c:ext>
          </c:extLst>
        </c:ser>
        <c:ser>
          <c:idx val="4"/>
          <c:order val="4"/>
          <c:tx>
            <c:strRef>
              <c:f>Лист2!$G$61</c:f>
              <c:strCache>
                <c:ptCount val="1"/>
                <c:pt idx="0">
                  <c:v>СН4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Лист2!$B$62:$B$76</c:f>
              <c:numCache>
                <c:formatCode>General</c:formatCode>
                <c:ptCount val="15"/>
                <c:pt idx="0">
                  <c:v>615</c:v>
                </c:pt>
                <c:pt idx="1">
                  <c:v>620</c:v>
                </c:pt>
                <c:pt idx="2">
                  <c:v>625</c:v>
                </c:pt>
                <c:pt idx="3">
                  <c:v>630</c:v>
                </c:pt>
                <c:pt idx="4">
                  <c:v>640</c:v>
                </c:pt>
                <c:pt idx="5">
                  <c:v>650</c:v>
                </c:pt>
                <c:pt idx="6">
                  <c:v>670</c:v>
                </c:pt>
                <c:pt idx="7">
                  <c:v>680</c:v>
                </c:pt>
                <c:pt idx="8">
                  <c:v>700</c:v>
                </c:pt>
                <c:pt idx="9">
                  <c:v>750</c:v>
                </c:pt>
                <c:pt idx="10">
                  <c:v>800</c:v>
                </c:pt>
                <c:pt idx="11">
                  <c:v>850</c:v>
                </c:pt>
                <c:pt idx="12">
                  <c:v>900</c:v>
                </c:pt>
                <c:pt idx="13">
                  <c:v>950</c:v>
                </c:pt>
                <c:pt idx="14">
                  <c:v>1000</c:v>
                </c:pt>
              </c:numCache>
            </c:numRef>
          </c:xVal>
          <c:yVal>
            <c:numRef>
              <c:f>Лист2!$G$62:$G$76</c:f>
              <c:numCache>
                <c:formatCode>General</c:formatCode>
                <c:ptCount val="15"/>
                <c:pt idx="0">
                  <c:v>0.12988210383853135</c:v>
                </c:pt>
                <c:pt idx="1">
                  <c:v>0.11083277239843344</c:v>
                </c:pt>
                <c:pt idx="2">
                  <c:v>0.1105197699300412</c:v>
                </c:pt>
                <c:pt idx="3">
                  <c:v>8.7568053697928361E-2</c:v>
                </c:pt>
                <c:pt idx="4">
                  <c:v>9.0732314017601914E-2</c:v>
                </c:pt>
                <c:pt idx="5">
                  <c:v>8.845849807998564E-2</c:v>
                </c:pt>
                <c:pt idx="6">
                  <c:v>6.8209195432095651E-2</c:v>
                </c:pt>
                <c:pt idx="7">
                  <c:v>6.0199055900090281E-2</c:v>
                </c:pt>
                <c:pt idx="8">
                  <c:v>4.5582691008257424E-2</c:v>
                </c:pt>
                <c:pt idx="9">
                  <c:v>2.0141808123891047E-2</c:v>
                </c:pt>
                <c:pt idx="10">
                  <c:v>7.8199732395034856E-3</c:v>
                </c:pt>
                <c:pt idx="11">
                  <c:v>2.9324633583188158E-3</c:v>
                </c:pt>
                <c:pt idx="12">
                  <c:v>1.1438331505301356E-3</c:v>
                </c:pt>
                <c:pt idx="13">
                  <c:v>4.7796042815363634E-4</c:v>
                </c:pt>
                <c:pt idx="14">
                  <c:v>2.1501932041010857E-4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0E-D748-9FFD-8E04C40A5D0C}"/>
            </c:ext>
          </c:extLst>
        </c:ser>
        <c:ser>
          <c:idx val="7"/>
          <c:order val="5"/>
          <c:tx>
            <c:strRef>
              <c:f>Лист2!$J$61</c:f>
              <c:strCache>
                <c:ptCount val="1"/>
                <c:pt idx="0">
                  <c:v>С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Лист2!$B$62:$B$76</c:f>
              <c:numCache>
                <c:formatCode>General</c:formatCode>
                <c:ptCount val="15"/>
                <c:pt idx="0">
                  <c:v>615</c:v>
                </c:pt>
                <c:pt idx="1">
                  <c:v>620</c:v>
                </c:pt>
                <c:pt idx="2">
                  <c:v>625</c:v>
                </c:pt>
                <c:pt idx="3">
                  <c:v>630</c:v>
                </c:pt>
                <c:pt idx="4">
                  <c:v>640</c:v>
                </c:pt>
                <c:pt idx="5">
                  <c:v>650</c:v>
                </c:pt>
                <c:pt idx="6">
                  <c:v>670</c:v>
                </c:pt>
                <c:pt idx="7">
                  <c:v>680</c:v>
                </c:pt>
                <c:pt idx="8">
                  <c:v>700</c:v>
                </c:pt>
                <c:pt idx="9">
                  <c:v>750</c:v>
                </c:pt>
                <c:pt idx="10">
                  <c:v>800</c:v>
                </c:pt>
                <c:pt idx="11">
                  <c:v>850</c:v>
                </c:pt>
                <c:pt idx="12">
                  <c:v>900</c:v>
                </c:pt>
                <c:pt idx="13">
                  <c:v>950</c:v>
                </c:pt>
                <c:pt idx="14">
                  <c:v>1000</c:v>
                </c:pt>
              </c:numCache>
            </c:numRef>
          </c:xVal>
          <c:yVal>
            <c:numRef>
              <c:f>Лист2!$J$62:$J$76</c:f>
              <c:numCache>
                <c:formatCode>General</c:formatCode>
                <c:ptCount val="15"/>
                <c:pt idx="0">
                  <c:v>5.7545373975005719E-2</c:v>
                </c:pt>
                <c:pt idx="1">
                  <c:v>1.4618467857126527E-2</c:v>
                </c:pt>
                <c:pt idx="2">
                  <c:v>3.1679333434048475E-3</c:v>
                </c:pt>
                <c:pt idx="3">
                  <c:v>1.9132271420124101E-2</c:v>
                </c:pt>
                <c:pt idx="4">
                  <c:v>1.2566735790409476E-2</c:v>
                </c:pt>
                <c:pt idx="5">
                  <c:v>5.206229191856834E-4</c:v>
                </c:pt>
                <c:pt idx="6">
                  <c:v>1.2140342611391533E-4</c:v>
                </c:pt>
                <c:pt idx="7">
                  <c:v>0</c:v>
                </c:pt>
                <c:pt idx="8">
                  <c:v>2.0197909147985293E-6</c:v>
                </c:pt>
                <c:pt idx="9">
                  <c:v>9.9134459387546854E-11</c:v>
                </c:pt>
                <c:pt idx="10">
                  <c:v>6.6464980631228374E-15</c:v>
                </c:pt>
                <c:pt idx="11">
                  <c:v>0</c:v>
                </c:pt>
                <c:pt idx="12">
                  <c:v>6.1820158023625157E-18</c:v>
                </c:pt>
                <c:pt idx="13">
                  <c:v>1.2347603444106092E-17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53-904D-9454-5DEB4FEE5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324560"/>
        <c:axId val="206195616"/>
      </c:scatterChart>
      <c:valAx>
        <c:axId val="151324560"/>
        <c:scaling>
          <c:orientation val="minMax"/>
          <c:min val="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6195616"/>
        <c:crosses val="autoZero"/>
        <c:crossBetween val="midCat"/>
      </c:valAx>
      <c:valAx>
        <c:axId val="206195616"/>
        <c:scaling>
          <c:orientation val="minMax"/>
          <c:max val="0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1324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Лист2!$C$79</c:f>
              <c:strCache>
                <c:ptCount val="1"/>
                <c:pt idx="0">
                  <c:v>СО2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Лист2!$B$81:$B$92</c:f>
              <c:numCache>
                <c:formatCode>General</c:formatCode>
                <c:ptCount val="12"/>
                <c:pt idx="0">
                  <c:v>660</c:v>
                </c:pt>
                <c:pt idx="1">
                  <c:v>665</c:v>
                </c:pt>
                <c:pt idx="2">
                  <c:v>670</c:v>
                </c:pt>
                <c:pt idx="3">
                  <c:v>680</c:v>
                </c:pt>
                <c:pt idx="4">
                  <c:v>690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  <c:pt idx="11">
                  <c:v>1000</c:v>
                </c:pt>
              </c:numCache>
            </c:numRef>
          </c:xVal>
          <c:yVal>
            <c:numRef>
              <c:f>Лист2!$C$81:$C$92</c:f>
              <c:numCache>
                <c:formatCode>General</c:formatCode>
                <c:ptCount val="12"/>
                <c:pt idx="0">
                  <c:v>7.0298569498944696E-2</c:v>
                </c:pt>
                <c:pt idx="1">
                  <c:v>7.3426080760347776E-2</c:v>
                </c:pt>
                <c:pt idx="2">
                  <c:v>7.4301363810772264E-2</c:v>
                </c:pt>
                <c:pt idx="3">
                  <c:v>7.3217649330253737E-2</c:v>
                </c:pt>
                <c:pt idx="4">
                  <c:v>7.2138705173225001E-2</c:v>
                </c:pt>
                <c:pt idx="5">
                  <c:v>7.0940764815733165E-2</c:v>
                </c:pt>
                <c:pt idx="6">
                  <c:v>6.3004239749568064E-2</c:v>
                </c:pt>
                <c:pt idx="7">
                  <c:v>5.4849921493856445E-2</c:v>
                </c:pt>
                <c:pt idx="8">
                  <c:v>4.8210818534150504E-2</c:v>
                </c:pt>
                <c:pt idx="9">
                  <c:v>4.303100657613089E-2</c:v>
                </c:pt>
                <c:pt idx="10">
                  <c:v>3.883975978388899E-2</c:v>
                </c:pt>
                <c:pt idx="11">
                  <c:v>3.5321363807541757E-2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84-AD4F-AC10-2E34C9984A84}"/>
            </c:ext>
          </c:extLst>
        </c:ser>
        <c:ser>
          <c:idx val="1"/>
          <c:order val="1"/>
          <c:tx>
            <c:strRef>
              <c:f>Лист2!$D$79</c:f>
              <c:strCache>
                <c:ptCount val="1"/>
                <c:pt idx="0">
                  <c:v>СО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Лист2!$B$81:$B$92</c:f>
              <c:numCache>
                <c:formatCode>General</c:formatCode>
                <c:ptCount val="12"/>
                <c:pt idx="0">
                  <c:v>660</c:v>
                </c:pt>
                <c:pt idx="1">
                  <c:v>665</c:v>
                </c:pt>
                <c:pt idx="2">
                  <c:v>670</c:v>
                </c:pt>
                <c:pt idx="3">
                  <c:v>680</c:v>
                </c:pt>
                <c:pt idx="4">
                  <c:v>690</c:v>
                </c:pt>
                <c:pt idx="5">
                  <c:v>700</c:v>
                </c:pt>
                <c:pt idx="6">
                  <c:v>750</c:v>
                </c:pt>
                <c:pt idx="7">
                  <c:v>800</c:v>
                </c:pt>
                <c:pt idx="8">
                  <c:v>850</c:v>
                </c:pt>
                <c:pt idx="9">
                  <c:v>900</c:v>
                </c:pt>
                <c:pt idx="10">
                  <c:v>950</c:v>
                </c:pt>
                <c:pt idx="11">
                  <c:v>1000</c:v>
                </c:pt>
              </c:numCache>
            </c:numRef>
          </c:xVal>
          <c:yVal>
            <c:numRef>
              <c:f>Лист2!$D$81:$D$92</c:f>
              <c:numCache>
                <c:formatCode>General</c:formatCode>
                <c:ptCount val="12"/>
                <c:pt idx="0">
                  <c:v>4.7611557199354171E-2</c:v>
                </c:pt>
                <c:pt idx="1">
                  <c:v>5.0237242959285874E-2</c:v>
                </c:pt>
                <c:pt idx="2">
                  <c:v>5.4461945556610658E-2</c:v>
                </c:pt>
                <c:pt idx="3">
                  <c:v>5.95637297336295E-2</c:v>
                </c:pt>
                <c:pt idx="4">
                  <c:v>6.4988047601722679E-2</c:v>
                </c:pt>
                <c:pt idx="5">
                  <c:v>7.0209004061156433E-2</c:v>
                </c:pt>
                <c:pt idx="6">
                  <c:v>9.6249671623411401E-2</c:v>
                </c:pt>
                <c:pt idx="7">
                  <c:v>0.11626984014440049</c:v>
                </c:pt>
                <c:pt idx="8">
                  <c:v>0.12904383749199397</c:v>
                </c:pt>
                <c:pt idx="9">
                  <c:v>0.13688253549472826</c:v>
                </c:pt>
                <c:pt idx="10">
                  <c:v>0.14215460997630389</c:v>
                </c:pt>
                <c:pt idx="11">
                  <c:v>0.14611903168098628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84-AD4F-AC10-2E34C9984A84}"/>
            </c:ext>
          </c:extLst>
        </c:ser>
        <c:ser>
          <c:idx val="2"/>
          <c:order val="2"/>
          <c:tx>
            <c:strRef>
              <c:f>Лист2!$E$79</c:f>
              <c:strCache>
                <c:ptCount val="1"/>
                <c:pt idx="0">
                  <c:v>Н2О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Лист2!$B$80:$B$92</c:f>
              <c:numCache>
                <c:formatCode>General</c:formatCode>
                <c:ptCount val="13"/>
                <c:pt idx="0">
                  <c:v>655</c:v>
                </c:pt>
                <c:pt idx="1">
                  <c:v>660</c:v>
                </c:pt>
                <c:pt idx="2">
                  <c:v>665</c:v>
                </c:pt>
                <c:pt idx="3">
                  <c:v>670</c:v>
                </c:pt>
                <c:pt idx="4">
                  <c:v>680</c:v>
                </c:pt>
                <c:pt idx="5">
                  <c:v>690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  <c:pt idx="11">
                  <c:v>950</c:v>
                </c:pt>
                <c:pt idx="12">
                  <c:v>1000</c:v>
                </c:pt>
              </c:numCache>
            </c:numRef>
          </c:xVal>
          <c:yVal>
            <c:numRef>
              <c:f>Лист2!$E$80:$E$92</c:f>
              <c:numCache>
                <c:formatCode>General</c:formatCode>
                <c:ptCount val="13"/>
                <c:pt idx="0">
                  <c:v>0.32859847574767581</c:v>
                </c:pt>
                <c:pt idx="1">
                  <c:v>0.31840540090637637</c:v>
                </c:pt>
                <c:pt idx="2">
                  <c:v>0.33006463675736658</c:v>
                </c:pt>
                <c:pt idx="3">
                  <c:v>0.32970164314315997</c:v>
                </c:pt>
                <c:pt idx="4">
                  <c:v>0.31748058993160155</c:v>
                </c:pt>
                <c:pt idx="5">
                  <c:v>0.30778850374219285</c:v>
                </c:pt>
                <c:pt idx="6">
                  <c:v>0.30011592101214074</c:v>
                </c:pt>
                <c:pt idx="7">
                  <c:v>0.26452200279498422</c:v>
                </c:pt>
                <c:pt idx="8">
                  <c:v>0.24385922882762875</c:v>
                </c:pt>
                <c:pt idx="9">
                  <c:v>0.23559930254521391</c:v>
                </c:pt>
                <c:pt idx="10">
                  <c:v>0.23432181982321126</c:v>
                </c:pt>
                <c:pt idx="11">
                  <c:v>0.23588819936992822</c:v>
                </c:pt>
                <c:pt idx="12">
                  <c:v>0.23832339000603303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684-AD4F-AC10-2E34C9984A84}"/>
            </c:ext>
          </c:extLst>
        </c:ser>
        <c:ser>
          <c:idx val="3"/>
          <c:order val="3"/>
          <c:tx>
            <c:strRef>
              <c:f>Лист2!$F$79</c:f>
              <c:strCache>
                <c:ptCount val="1"/>
                <c:pt idx="0">
                  <c:v>Н2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Лист2!$B$80:$B$92</c:f>
              <c:numCache>
                <c:formatCode>General</c:formatCode>
                <c:ptCount val="13"/>
                <c:pt idx="0">
                  <c:v>655</c:v>
                </c:pt>
                <c:pt idx="1">
                  <c:v>660</c:v>
                </c:pt>
                <c:pt idx="2">
                  <c:v>665</c:v>
                </c:pt>
                <c:pt idx="3">
                  <c:v>670</c:v>
                </c:pt>
                <c:pt idx="4">
                  <c:v>680</c:v>
                </c:pt>
                <c:pt idx="5">
                  <c:v>690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  <c:pt idx="11">
                  <c:v>950</c:v>
                </c:pt>
                <c:pt idx="12">
                  <c:v>1000</c:v>
                </c:pt>
              </c:numCache>
            </c:numRef>
          </c:xVal>
          <c:yVal>
            <c:numRef>
              <c:f>Лист2!$F$80:$F$92</c:f>
              <c:numCache>
                <c:formatCode>General</c:formatCode>
                <c:ptCount val="13"/>
                <c:pt idx="0">
                  <c:v>0.44318004463079902</c:v>
                </c:pt>
                <c:pt idx="1">
                  <c:v>0.4576982576222598</c:v>
                </c:pt>
                <c:pt idx="2">
                  <c:v>0.4456019838559615</c:v>
                </c:pt>
                <c:pt idx="3">
                  <c:v>0.44085357121392948</c:v>
                </c:pt>
                <c:pt idx="4">
                  <c:v>0.46193020056348111</c:v>
                </c:pt>
                <c:pt idx="5">
                  <c:v>0.48358090233561207</c:v>
                </c:pt>
                <c:pt idx="6">
                  <c:v>0.49503756611158417</c:v>
                </c:pt>
                <c:pt idx="7">
                  <c:v>0.54076584241856362</c:v>
                </c:pt>
                <c:pt idx="8">
                  <c:v>0.56820920636832162</c:v>
                </c:pt>
                <c:pt idx="9">
                  <c:v>0.5799747866125794</c:v>
                </c:pt>
                <c:pt idx="10">
                  <c:v>0.58277163278870836</c:v>
                </c:pt>
                <c:pt idx="11">
                  <c:v>0.58182286906446778</c:v>
                </c:pt>
                <c:pt idx="12">
                  <c:v>0.57964255027312583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84-AD4F-AC10-2E34C9984A84}"/>
            </c:ext>
          </c:extLst>
        </c:ser>
        <c:ser>
          <c:idx val="4"/>
          <c:order val="4"/>
          <c:tx>
            <c:strRef>
              <c:f>Лист2!$G$79</c:f>
              <c:strCache>
                <c:ptCount val="1"/>
                <c:pt idx="0">
                  <c:v>СН4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Лист2!$B$80:$B$92</c:f>
              <c:numCache>
                <c:formatCode>General</c:formatCode>
                <c:ptCount val="13"/>
                <c:pt idx="0">
                  <c:v>655</c:v>
                </c:pt>
                <c:pt idx="1">
                  <c:v>660</c:v>
                </c:pt>
                <c:pt idx="2">
                  <c:v>665</c:v>
                </c:pt>
                <c:pt idx="3">
                  <c:v>670</c:v>
                </c:pt>
                <c:pt idx="4">
                  <c:v>680</c:v>
                </c:pt>
                <c:pt idx="5">
                  <c:v>690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  <c:pt idx="11">
                  <c:v>950</c:v>
                </c:pt>
                <c:pt idx="12">
                  <c:v>1000</c:v>
                </c:pt>
              </c:numCache>
            </c:numRef>
          </c:xVal>
          <c:yVal>
            <c:numRef>
              <c:f>Лист2!$G$80:$G$92</c:f>
              <c:numCache>
                <c:formatCode>General</c:formatCode>
                <c:ptCount val="13"/>
                <c:pt idx="0">
                  <c:v>7.9498059645014968E-2</c:v>
                </c:pt>
                <c:pt idx="1">
                  <c:v>6.7900858128939923E-2</c:v>
                </c:pt>
                <c:pt idx="2">
                  <c:v>8.6605326806949171E-2</c:v>
                </c:pt>
                <c:pt idx="3">
                  <c:v>9.4212077510638925E-2</c:v>
                </c:pt>
                <c:pt idx="4">
                  <c:v>8.1426261245623327E-2</c:v>
                </c:pt>
                <c:pt idx="5">
                  <c:v>6.9663862482426508E-2</c:v>
                </c:pt>
                <c:pt idx="6">
                  <c:v>6.3409065672424672E-2</c:v>
                </c:pt>
                <c:pt idx="7">
                  <c:v>3.5458215919004575E-2</c:v>
                </c:pt>
                <c:pt idx="8">
                  <c:v>1.6811803165792692E-2</c:v>
                </c:pt>
                <c:pt idx="9">
                  <c:v>7.1712548160613359E-3</c:v>
                </c:pt>
                <c:pt idx="10">
                  <c:v>2.9930053172213815E-3</c:v>
                </c:pt>
                <c:pt idx="11">
                  <c:v>1.2945618054111558E-3</c:v>
                </c:pt>
                <c:pt idx="12">
                  <c:v>5.9366423231308808E-4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684-AD4F-AC10-2E34C9984A84}"/>
            </c:ext>
          </c:extLst>
        </c:ser>
        <c:ser>
          <c:idx val="7"/>
          <c:order val="5"/>
          <c:tx>
            <c:strRef>
              <c:f>Лист2!$J$79</c:f>
              <c:strCache>
                <c:ptCount val="1"/>
                <c:pt idx="0">
                  <c:v>С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Лист2!$B$80:$B$92</c:f>
              <c:numCache>
                <c:formatCode>General</c:formatCode>
                <c:ptCount val="13"/>
                <c:pt idx="0">
                  <c:v>655</c:v>
                </c:pt>
                <c:pt idx="1">
                  <c:v>660</c:v>
                </c:pt>
                <c:pt idx="2">
                  <c:v>665</c:v>
                </c:pt>
                <c:pt idx="3">
                  <c:v>670</c:v>
                </c:pt>
                <c:pt idx="4">
                  <c:v>680</c:v>
                </c:pt>
                <c:pt idx="5">
                  <c:v>690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  <c:pt idx="11">
                  <c:v>950</c:v>
                </c:pt>
                <c:pt idx="12">
                  <c:v>1000</c:v>
                </c:pt>
              </c:numCache>
            </c:numRef>
          </c:xVal>
          <c:yVal>
            <c:numRef>
              <c:f>Лист2!$J$80:$J$92</c:f>
              <c:numCache>
                <c:formatCode>General</c:formatCode>
                <c:ptCount val="13"/>
                <c:pt idx="0">
                  <c:v>3.1976728570236437E-2</c:v>
                </c:pt>
                <c:pt idx="1">
                  <c:v>3.8085356644124983E-2</c:v>
                </c:pt>
                <c:pt idx="2">
                  <c:v>1.4064728860089004E-2</c:v>
                </c:pt>
                <c:pt idx="3">
                  <c:v>6.4693987648887594E-3</c:v>
                </c:pt>
                <c:pt idx="4">
                  <c:v>6.3815691954109523E-3</c:v>
                </c:pt>
                <c:pt idx="5">
                  <c:v>1.8399786648207416E-3</c:v>
                </c:pt>
                <c:pt idx="6">
                  <c:v>2.8767832696092332E-4</c:v>
                </c:pt>
                <c:pt idx="7">
                  <c:v>2.7494468018135103E-8</c:v>
                </c:pt>
                <c:pt idx="8">
                  <c:v>0</c:v>
                </c:pt>
                <c:pt idx="9">
                  <c:v>7.831836390208886E-16</c:v>
                </c:pt>
                <c:pt idx="10">
                  <c:v>5.0766765066234826E-18</c:v>
                </c:pt>
                <c:pt idx="11">
                  <c:v>5.0595342239613275E-18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DD-D54D-88F7-CC56E871E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20704"/>
        <c:axId val="1920817423"/>
      </c:scatterChart>
      <c:valAx>
        <c:axId val="234320704"/>
        <c:scaling>
          <c:orientation val="minMax"/>
          <c:min val="6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0817423"/>
        <c:crosses val="autoZero"/>
        <c:crossBetween val="midCat"/>
      </c:valAx>
      <c:valAx>
        <c:axId val="1920817423"/>
        <c:scaling>
          <c:orientation val="minMax"/>
          <c:max val="0.6000000000000000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4320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Лист2!$R$52</c:f>
              <c:strCache>
                <c:ptCount val="1"/>
                <c:pt idx="0">
                  <c:v>СО2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Лист2!$Q$53:$Q$60</c:f>
              <c:numCache>
                <c:formatCode>General</c:formatCode>
                <c:ptCount val="8"/>
                <c:pt idx="0">
                  <c:v>690</c:v>
                </c:pt>
                <c:pt idx="1">
                  <c:v>700</c:v>
                </c:pt>
                <c:pt idx="2">
                  <c:v>750</c:v>
                </c:pt>
                <c:pt idx="3">
                  <c:v>800</c:v>
                </c:pt>
                <c:pt idx="4">
                  <c:v>850</c:v>
                </c:pt>
                <c:pt idx="5">
                  <c:v>900</c:v>
                </c:pt>
                <c:pt idx="6">
                  <c:v>950</c:v>
                </c:pt>
                <c:pt idx="7">
                  <c:v>1000</c:v>
                </c:pt>
              </c:numCache>
            </c:numRef>
          </c:xVal>
          <c:yVal>
            <c:numRef>
              <c:f>Лист2!$R$53:$R$60</c:f>
              <c:numCache>
                <c:formatCode>General</c:formatCode>
                <c:ptCount val="8"/>
                <c:pt idx="1">
                  <c:v>5.0428258709651816E-23</c:v>
                </c:pt>
                <c:pt idx="2">
                  <c:v>1.7987530433635334E-2</c:v>
                </c:pt>
                <c:pt idx="3">
                  <c:v>1.7848948912777926E-2</c:v>
                </c:pt>
                <c:pt idx="4">
                  <c:v>9.0297942537315989E-3</c:v>
                </c:pt>
                <c:pt idx="5">
                  <c:v>6.0869804545781846E-3</c:v>
                </c:pt>
                <c:pt idx="6">
                  <c:v>4.8592226997217474E-3</c:v>
                </c:pt>
                <c:pt idx="7">
                  <c:v>4.1300260718844907E-3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F9-E744-8F14-CF66DF6864BA}"/>
            </c:ext>
          </c:extLst>
        </c:ser>
        <c:ser>
          <c:idx val="1"/>
          <c:order val="1"/>
          <c:tx>
            <c:strRef>
              <c:f>Лист2!$S$52</c:f>
              <c:strCache>
                <c:ptCount val="1"/>
                <c:pt idx="0">
                  <c:v>СО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Лист2!$Q$53:$Q$60</c:f>
              <c:numCache>
                <c:formatCode>General</c:formatCode>
                <c:ptCount val="8"/>
                <c:pt idx="0">
                  <c:v>690</c:v>
                </c:pt>
                <c:pt idx="1">
                  <c:v>700</c:v>
                </c:pt>
                <c:pt idx="2">
                  <c:v>750</c:v>
                </c:pt>
                <c:pt idx="3">
                  <c:v>800</c:v>
                </c:pt>
                <c:pt idx="4">
                  <c:v>850</c:v>
                </c:pt>
                <c:pt idx="5">
                  <c:v>900</c:v>
                </c:pt>
                <c:pt idx="6">
                  <c:v>950</c:v>
                </c:pt>
                <c:pt idx="7">
                  <c:v>1000</c:v>
                </c:pt>
              </c:numCache>
            </c:numRef>
          </c:xVal>
          <c:yVal>
            <c:numRef>
              <c:f>Лист2!$S$53:$S$60</c:f>
              <c:numCache>
                <c:formatCode>General</c:formatCode>
                <c:ptCount val="8"/>
                <c:pt idx="1">
                  <c:v>-4.3687634952435604E-20</c:v>
                </c:pt>
                <c:pt idx="2">
                  <c:v>0.12933905233079848</c:v>
                </c:pt>
                <c:pt idx="3">
                  <c:v>0.19899103637955193</c:v>
                </c:pt>
                <c:pt idx="4">
                  <c:v>0.22063459786215583</c:v>
                </c:pt>
                <c:pt idx="5">
                  <c:v>0.23095270450474051</c:v>
                </c:pt>
                <c:pt idx="6">
                  <c:v>0.2361170505469587</c:v>
                </c:pt>
                <c:pt idx="7">
                  <c:v>0.23861499543577877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F9-E744-8F14-CF66DF6864BA}"/>
            </c:ext>
          </c:extLst>
        </c:ser>
        <c:ser>
          <c:idx val="2"/>
          <c:order val="2"/>
          <c:tx>
            <c:strRef>
              <c:f>Лист2!$T$52</c:f>
              <c:strCache>
                <c:ptCount val="1"/>
                <c:pt idx="0">
                  <c:v>Н2О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Лист2!$Q$53:$Q$60</c:f>
              <c:numCache>
                <c:formatCode>General</c:formatCode>
                <c:ptCount val="8"/>
                <c:pt idx="0">
                  <c:v>690</c:v>
                </c:pt>
                <c:pt idx="1">
                  <c:v>700</c:v>
                </c:pt>
                <c:pt idx="2">
                  <c:v>750</c:v>
                </c:pt>
                <c:pt idx="3">
                  <c:v>800</c:v>
                </c:pt>
                <c:pt idx="4">
                  <c:v>850</c:v>
                </c:pt>
                <c:pt idx="5">
                  <c:v>900</c:v>
                </c:pt>
                <c:pt idx="6">
                  <c:v>950</c:v>
                </c:pt>
                <c:pt idx="7">
                  <c:v>1000</c:v>
                </c:pt>
              </c:numCache>
            </c:numRef>
          </c:xVal>
          <c:yVal>
            <c:numRef>
              <c:f>Лист2!$T$53:$T$60</c:f>
              <c:numCache>
                <c:formatCode>General</c:formatCode>
                <c:ptCount val="8"/>
                <c:pt idx="1">
                  <c:v>4.3586778432537727E-20</c:v>
                </c:pt>
                <c:pt idx="2">
                  <c:v>3.7710113763463225E-3</c:v>
                </c:pt>
                <c:pt idx="3">
                  <c:v>1.9669425575009485E-2</c:v>
                </c:pt>
                <c:pt idx="4">
                  <c:v>2.6636469739320177E-2</c:v>
                </c:pt>
                <c:pt idx="5">
                  <c:v>2.4339656815246268E-2</c:v>
                </c:pt>
                <c:pt idx="6">
                  <c:v>2.2404168097390847E-2</c:v>
                </c:pt>
                <c:pt idx="7">
                  <c:v>2.1649688361982326E-2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F9-E744-8F14-CF66DF6864BA}"/>
            </c:ext>
          </c:extLst>
        </c:ser>
        <c:ser>
          <c:idx val="3"/>
          <c:order val="3"/>
          <c:tx>
            <c:strRef>
              <c:f>Лист2!$U$52</c:f>
              <c:strCache>
                <c:ptCount val="1"/>
                <c:pt idx="0">
                  <c:v>Н2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Лист2!$Q$53:$Q$60</c:f>
              <c:numCache>
                <c:formatCode>General</c:formatCode>
                <c:ptCount val="8"/>
                <c:pt idx="0">
                  <c:v>690</c:v>
                </c:pt>
                <c:pt idx="1">
                  <c:v>700</c:v>
                </c:pt>
                <c:pt idx="2">
                  <c:v>750</c:v>
                </c:pt>
                <c:pt idx="3">
                  <c:v>800</c:v>
                </c:pt>
                <c:pt idx="4">
                  <c:v>850</c:v>
                </c:pt>
                <c:pt idx="5">
                  <c:v>900</c:v>
                </c:pt>
                <c:pt idx="6">
                  <c:v>950</c:v>
                </c:pt>
                <c:pt idx="7">
                  <c:v>1000</c:v>
                </c:pt>
              </c:numCache>
            </c:numRef>
          </c:xVal>
          <c:yVal>
            <c:numRef>
              <c:f>Лист2!$U$53:$U$60</c:f>
              <c:numCache>
                <c:formatCode>General</c:formatCode>
                <c:ptCount val="8"/>
                <c:pt idx="1">
                  <c:v>5.0428251949892852E-23</c:v>
                </c:pt>
                <c:pt idx="2">
                  <c:v>0.47912877927295022</c:v>
                </c:pt>
                <c:pt idx="3">
                  <c:v>0.71155356649491586</c:v>
                </c:pt>
                <c:pt idx="4">
                  <c:v>0.73265885636902028</c:v>
                </c:pt>
                <c:pt idx="5">
                  <c:v>0.7355405865340594</c:v>
                </c:pt>
                <c:pt idx="6">
                  <c:v>0.73642194281915729</c:v>
                </c:pt>
                <c:pt idx="7">
                  <c:v>0.7364702150033301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F9-E744-8F14-CF66DF6864BA}"/>
            </c:ext>
          </c:extLst>
        </c:ser>
        <c:ser>
          <c:idx val="4"/>
          <c:order val="4"/>
          <c:tx>
            <c:strRef>
              <c:f>Лист2!$V$52</c:f>
              <c:strCache>
                <c:ptCount val="1"/>
                <c:pt idx="0">
                  <c:v>СН4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Лист2!$Q$53:$Q$60</c:f>
              <c:numCache>
                <c:formatCode>General</c:formatCode>
                <c:ptCount val="8"/>
                <c:pt idx="0">
                  <c:v>690</c:v>
                </c:pt>
                <c:pt idx="1">
                  <c:v>700</c:v>
                </c:pt>
                <c:pt idx="2">
                  <c:v>750</c:v>
                </c:pt>
                <c:pt idx="3">
                  <c:v>800</c:v>
                </c:pt>
                <c:pt idx="4">
                  <c:v>850</c:v>
                </c:pt>
                <c:pt idx="5">
                  <c:v>900</c:v>
                </c:pt>
                <c:pt idx="6">
                  <c:v>950</c:v>
                </c:pt>
                <c:pt idx="7">
                  <c:v>1000</c:v>
                </c:pt>
              </c:numCache>
            </c:numRef>
          </c:xVal>
          <c:yVal>
            <c:numRef>
              <c:f>Лист2!$V$53:$V$60</c:f>
              <c:numCache>
                <c:formatCode>General</c:formatCode>
                <c:ptCount val="8"/>
                <c:pt idx="1">
                  <c:v>1</c:v>
                </c:pt>
                <c:pt idx="2">
                  <c:v>0.36977362658626955</c:v>
                </c:pt>
                <c:pt idx="3">
                  <c:v>4.9484147816259788E-2</c:v>
                </c:pt>
                <c:pt idx="4">
                  <c:v>1.4143602604712611E-2</c:v>
                </c:pt>
                <c:pt idx="5">
                  <c:v>6.1888347788210882E-3</c:v>
                </c:pt>
                <c:pt idx="6">
                  <c:v>2.8804746720815636E-3</c:v>
                </c:pt>
                <c:pt idx="7">
                  <c:v>1.3684966339167931E-3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F9-E744-8F14-CF66DF686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031727"/>
        <c:axId val="1927170495"/>
      </c:scatterChart>
      <c:valAx>
        <c:axId val="1927031727"/>
        <c:scaling>
          <c:orientation val="minMax"/>
          <c:min val="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7170495"/>
        <c:crosses val="autoZero"/>
        <c:crossBetween val="midCat"/>
      </c:valAx>
      <c:valAx>
        <c:axId val="192717049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70317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Лист2!$C$24</c:f>
              <c:strCache>
                <c:ptCount val="1"/>
                <c:pt idx="0">
                  <c:v>СО2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Лист2!$B$25:$B$40</c:f>
              <c:numCache>
                <c:formatCode>General</c:formatCode>
                <c:ptCount val="16"/>
                <c:pt idx="0">
                  <c:v>560</c:v>
                </c:pt>
                <c:pt idx="1">
                  <c:v>565</c:v>
                </c:pt>
                <c:pt idx="2">
                  <c:v>570</c:v>
                </c:pt>
                <c:pt idx="3">
                  <c:v>580</c:v>
                </c:pt>
                <c:pt idx="4">
                  <c:v>600</c:v>
                </c:pt>
                <c:pt idx="5">
                  <c:v>630</c:v>
                </c:pt>
                <c:pt idx="6">
                  <c:v>633.5</c:v>
                </c:pt>
                <c:pt idx="7">
                  <c:v>650</c:v>
                </c:pt>
                <c:pt idx="8">
                  <c:v>680</c:v>
                </c:pt>
                <c:pt idx="9">
                  <c:v>700</c:v>
                </c:pt>
                <c:pt idx="10">
                  <c:v>750</c:v>
                </c:pt>
                <c:pt idx="11">
                  <c:v>800</c:v>
                </c:pt>
                <c:pt idx="12">
                  <c:v>850</c:v>
                </c:pt>
                <c:pt idx="13">
                  <c:v>900</c:v>
                </c:pt>
                <c:pt idx="14">
                  <c:v>950</c:v>
                </c:pt>
                <c:pt idx="15">
                  <c:v>1000</c:v>
                </c:pt>
              </c:numCache>
            </c:numRef>
          </c:xVal>
          <c:yVal>
            <c:numRef>
              <c:f>Лист2!$C$25:$C$40</c:f>
              <c:numCache>
                <c:formatCode>General</c:formatCode>
                <c:ptCount val="16"/>
                <c:pt idx="0">
                  <c:v>7.7650818194425542E-2</c:v>
                </c:pt>
                <c:pt idx="1">
                  <c:v>8.3227855266251163E-2</c:v>
                </c:pt>
                <c:pt idx="2">
                  <c:v>8.2272973855324533E-2</c:v>
                </c:pt>
                <c:pt idx="3">
                  <c:v>5.8136363131708946E-2</c:v>
                </c:pt>
                <c:pt idx="4">
                  <c:v>7.4840828227330972E-2</c:v>
                </c:pt>
                <c:pt idx="5">
                  <c:v>8.1529020547099124E-2</c:v>
                </c:pt>
                <c:pt idx="6">
                  <c:v>8.0898214646959385E-2</c:v>
                </c:pt>
                <c:pt idx="7">
                  <c:v>7.7702469072496422E-2</c:v>
                </c:pt>
                <c:pt idx="8">
                  <c:v>7.1538898749483618E-2</c:v>
                </c:pt>
                <c:pt idx="9">
                  <c:v>6.760757445667763E-2</c:v>
                </c:pt>
                <c:pt idx="10">
                  <c:v>5.9232163506730821E-2</c:v>
                </c:pt>
                <c:pt idx="11">
                  <c:v>5.2647409630063931E-2</c:v>
                </c:pt>
                <c:pt idx="12">
                  <c:v>4.7226250379676621E-2</c:v>
                </c:pt>
                <c:pt idx="13">
                  <c:v>4.262634678512859E-2</c:v>
                </c:pt>
                <c:pt idx="14">
                  <c:v>3.8671423981509641E-2</c:v>
                </c:pt>
                <c:pt idx="15">
                  <c:v>3.5247794059024708E-2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DF-E94A-9C99-2C420396971E}"/>
            </c:ext>
          </c:extLst>
        </c:ser>
        <c:ser>
          <c:idx val="1"/>
          <c:order val="1"/>
          <c:tx>
            <c:strRef>
              <c:f>Лист2!$D$24</c:f>
              <c:strCache>
                <c:ptCount val="1"/>
                <c:pt idx="0">
                  <c:v>СО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Лист2!$B$25:$B$40</c:f>
              <c:numCache>
                <c:formatCode>General</c:formatCode>
                <c:ptCount val="16"/>
                <c:pt idx="0">
                  <c:v>560</c:v>
                </c:pt>
                <c:pt idx="1">
                  <c:v>565</c:v>
                </c:pt>
                <c:pt idx="2">
                  <c:v>570</c:v>
                </c:pt>
                <c:pt idx="3">
                  <c:v>580</c:v>
                </c:pt>
                <c:pt idx="4">
                  <c:v>600</c:v>
                </c:pt>
                <c:pt idx="5">
                  <c:v>630</c:v>
                </c:pt>
                <c:pt idx="6">
                  <c:v>633.5</c:v>
                </c:pt>
                <c:pt idx="7">
                  <c:v>650</c:v>
                </c:pt>
                <c:pt idx="8">
                  <c:v>680</c:v>
                </c:pt>
                <c:pt idx="9">
                  <c:v>700</c:v>
                </c:pt>
                <c:pt idx="10">
                  <c:v>750</c:v>
                </c:pt>
                <c:pt idx="11">
                  <c:v>800</c:v>
                </c:pt>
                <c:pt idx="12">
                  <c:v>850</c:v>
                </c:pt>
                <c:pt idx="13">
                  <c:v>900</c:v>
                </c:pt>
                <c:pt idx="14">
                  <c:v>950</c:v>
                </c:pt>
                <c:pt idx="15">
                  <c:v>1000</c:v>
                </c:pt>
              </c:numCache>
            </c:numRef>
          </c:xVal>
          <c:yVal>
            <c:numRef>
              <c:f>Лист2!$D$25:$D$40</c:f>
              <c:numCache>
                <c:formatCode>General</c:formatCode>
                <c:ptCount val="16"/>
                <c:pt idx="0">
                  <c:v>2.6587836502125067E-2</c:v>
                </c:pt>
                <c:pt idx="1">
                  <c:v>3.121625630649609E-2</c:v>
                </c:pt>
                <c:pt idx="2">
                  <c:v>3.1802218145576648E-2</c:v>
                </c:pt>
                <c:pt idx="3">
                  <c:v>5.3083493493610683E-2</c:v>
                </c:pt>
                <c:pt idx="4">
                  <c:v>5.6312584785838518E-2</c:v>
                </c:pt>
                <c:pt idx="5">
                  <c:v>7.0703354316863892E-2</c:v>
                </c:pt>
                <c:pt idx="6">
                  <c:v>7.2786861305153716E-2</c:v>
                </c:pt>
                <c:pt idx="7">
                  <c:v>8.2317106980716911E-2</c:v>
                </c:pt>
                <c:pt idx="8">
                  <c:v>9.754516619929092E-2</c:v>
                </c:pt>
                <c:pt idx="9">
                  <c:v>0.10571341133147082</c:v>
                </c:pt>
                <c:pt idx="10">
                  <c:v>0.11976101517814138</c:v>
                </c:pt>
                <c:pt idx="11">
                  <c:v>0.12823994328028476</c:v>
                </c:pt>
                <c:pt idx="12">
                  <c:v>0.13426364533116122</c:v>
                </c:pt>
                <c:pt idx="13">
                  <c:v>0.13906560951366573</c:v>
                </c:pt>
                <c:pt idx="14">
                  <c:v>0.14309393757367322</c:v>
                </c:pt>
                <c:pt idx="15">
                  <c:v>0.14654649104920994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DF-E94A-9C99-2C420396971E}"/>
            </c:ext>
          </c:extLst>
        </c:ser>
        <c:ser>
          <c:idx val="2"/>
          <c:order val="2"/>
          <c:tx>
            <c:strRef>
              <c:f>Лист2!$E$24</c:f>
              <c:strCache>
                <c:ptCount val="1"/>
                <c:pt idx="0">
                  <c:v>Н2О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Лист2!$B$25:$B$40</c:f>
              <c:numCache>
                <c:formatCode>General</c:formatCode>
                <c:ptCount val="16"/>
                <c:pt idx="0">
                  <c:v>560</c:v>
                </c:pt>
                <c:pt idx="1">
                  <c:v>565</c:v>
                </c:pt>
                <c:pt idx="2">
                  <c:v>570</c:v>
                </c:pt>
                <c:pt idx="3">
                  <c:v>580</c:v>
                </c:pt>
                <c:pt idx="4">
                  <c:v>600</c:v>
                </c:pt>
                <c:pt idx="5">
                  <c:v>630</c:v>
                </c:pt>
                <c:pt idx="6">
                  <c:v>633.5</c:v>
                </c:pt>
                <c:pt idx="7">
                  <c:v>650</c:v>
                </c:pt>
                <c:pt idx="8">
                  <c:v>680</c:v>
                </c:pt>
                <c:pt idx="9">
                  <c:v>700</c:v>
                </c:pt>
                <c:pt idx="10">
                  <c:v>750</c:v>
                </c:pt>
                <c:pt idx="11">
                  <c:v>800</c:v>
                </c:pt>
                <c:pt idx="12">
                  <c:v>850</c:v>
                </c:pt>
                <c:pt idx="13">
                  <c:v>900</c:v>
                </c:pt>
                <c:pt idx="14">
                  <c:v>950</c:v>
                </c:pt>
                <c:pt idx="15">
                  <c:v>1000</c:v>
                </c:pt>
              </c:numCache>
            </c:numRef>
          </c:xVal>
          <c:yVal>
            <c:numRef>
              <c:f>Лист2!$E$25:$E$40</c:f>
              <c:numCache>
                <c:formatCode>General</c:formatCode>
                <c:ptCount val="16"/>
                <c:pt idx="0">
                  <c:v>0.36551223097781838</c:v>
                </c:pt>
                <c:pt idx="1">
                  <c:v>0.33090302412067846</c:v>
                </c:pt>
                <c:pt idx="2">
                  <c:v>0.3285648370978228</c:v>
                </c:pt>
                <c:pt idx="3">
                  <c:v>0.35149023150908687</c:v>
                </c:pt>
                <c:pt idx="4">
                  <c:v>0.29999406192006067</c:v>
                </c:pt>
                <c:pt idx="5">
                  <c:v>0.26304980362210173</c:v>
                </c:pt>
                <c:pt idx="6">
                  <c:v>0.26015207491358788</c:v>
                </c:pt>
                <c:pt idx="7">
                  <c:v>0.24796431950095171</c:v>
                </c:pt>
                <c:pt idx="8">
                  <c:v>0.23211408589007584</c:v>
                </c:pt>
                <c:pt idx="9">
                  <c:v>0.22575574579128699</c:v>
                </c:pt>
                <c:pt idx="10">
                  <c:v>0.22035583111572202</c:v>
                </c:pt>
                <c:pt idx="11">
                  <c:v>0.22234044758766072</c:v>
                </c:pt>
                <c:pt idx="12">
                  <c:v>0.22629828860828868</c:v>
                </c:pt>
                <c:pt idx="13">
                  <c:v>0.23040747363208525</c:v>
                </c:pt>
                <c:pt idx="14">
                  <c:v>0.23418412652733195</c:v>
                </c:pt>
                <c:pt idx="15">
                  <c:v>0.23753751353526259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DF-E94A-9C99-2C420396971E}"/>
            </c:ext>
          </c:extLst>
        </c:ser>
        <c:ser>
          <c:idx val="3"/>
          <c:order val="3"/>
          <c:tx>
            <c:strRef>
              <c:f>Лист2!$F$24</c:f>
              <c:strCache>
                <c:ptCount val="1"/>
                <c:pt idx="0">
                  <c:v>Н2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Лист2!$B$25:$B$40</c:f>
              <c:numCache>
                <c:formatCode>General</c:formatCode>
                <c:ptCount val="16"/>
                <c:pt idx="0">
                  <c:v>560</c:v>
                </c:pt>
                <c:pt idx="1">
                  <c:v>565</c:v>
                </c:pt>
                <c:pt idx="2">
                  <c:v>570</c:v>
                </c:pt>
                <c:pt idx="3">
                  <c:v>580</c:v>
                </c:pt>
                <c:pt idx="4">
                  <c:v>600</c:v>
                </c:pt>
                <c:pt idx="5">
                  <c:v>630</c:v>
                </c:pt>
                <c:pt idx="6">
                  <c:v>633.5</c:v>
                </c:pt>
                <c:pt idx="7">
                  <c:v>650</c:v>
                </c:pt>
                <c:pt idx="8">
                  <c:v>680</c:v>
                </c:pt>
                <c:pt idx="9">
                  <c:v>700</c:v>
                </c:pt>
                <c:pt idx="10">
                  <c:v>750</c:v>
                </c:pt>
                <c:pt idx="11">
                  <c:v>800</c:v>
                </c:pt>
                <c:pt idx="12">
                  <c:v>850</c:v>
                </c:pt>
                <c:pt idx="13">
                  <c:v>900</c:v>
                </c:pt>
                <c:pt idx="14">
                  <c:v>950</c:v>
                </c:pt>
                <c:pt idx="15">
                  <c:v>1000</c:v>
                </c:pt>
              </c:numCache>
            </c:numRef>
          </c:xVal>
          <c:yVal>
            <c:numRef>
              <c:f>Лист2!$F$25:$F$40</c:f>
              <c:numCache>
                <c:formatCode>General</c:formatCode>
                <c:ptCount val="16"/>
                <c:pt idx="0">
                  <c:v>0.32808475486120148</c:v>
                </c:pt>
                <c:pt idx="1">
                  <c:v>0.41555319828947773</c:v>
                </c:pt>
                <c:pt idx="2">
                  <c:v>0.4263977548403376</c:v>
                </c:pt>
                <c:pt idx="3">
                  <c:v>0.39164926507398978</c:v>
                </c:pt>
                <c:pt idx="4">
                  <c:v>0.46820389510806343</c:v>
                </c:pt>
                <c:pt idx="5">
                  <c:v>0.53822434744954084</c:v>
                </c:pt>
                <c:pt idx="6">
                  <c:v>0.54195340362176303</c:v>
                </c:pt>
                <c:pt idx="7">
                  <c:v>0.55776106976041551</c:v>
                </c:pt>
                <c:pt idx="8">
                  <c:v>0.57879109493726721</c:v>
                </c:pt>
                <c:pt idx="9">
                  <c:v>0.58757053176125851</c:v>
                </c:pt>
                <c:pt idx="10">
                  <c:v>0.59621169956134867</c:v>
                </c:pt>
                <c:pt idx="11">
                  <c:v>0.59530946836110998</c:v>
                </c:pt>
                <c:pt idx="12">
                  <c:v>0.59169593751219007</c:v>
                </c:pt>
                <c:pt idx="13">
                  <c:v>0.58770221568151149</c:v>
                </c:pt>
                <c:pt idx="14">
                  <c:v>0.58396750864705826</c:v>
                </c:pt>
                <c:pt idx="15">
                  <c:v>0.58063064938372866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DF-E94A-9C99-2C420396971E}"/>
            </c:ext>
          </c:extLst>
        </c:ser>
        <c:ser>
          <c:idx val="4"/>
          <c:order val="4"/>
          <c:tx>
            <c:strRef>
              <c:f>Лист2!$G$24</c:f>
              <c:strCache>
                <c:ptCount val="1"/>
                <c:pt idx="0">
                  <c:v>СН4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Лист2!$B$25:$B$40</c:f>
              <c:numCache>
                <c:formatCode>General</c:formatCode>
                <c:ptCount val="16"/>
                <c:pt idx="0">
                  <c:v>560</c:v>
                </c:pt>
                <c:pt idx="1">
                  <c:v>565</c:v>
                </c:pt>
                <c:pt idx="2">
                  <c:v>570</c:v>
                </c:pt>
                <c:pt idx="3">
                  <c:v>580</c:v>
                </c:pt>
                <c:pt idx="4">
                  <c:v>600</c:v>
                </c:pt>
                <c:pt idx="5">
                  <c:v>630</c:v>
                </c:pt>
                <c:pt idx="6">
                  <c:v>633.5</c:v>
                </c:pt>
                <c:pt idx="7">
                  <c:v>650</c:v>
                </c:pt>
                <c:pt idx="8">
                  <c:v>680</c:v>
                </c:pt>
                <c:pt idx="9">
                  <c:v>700</c:v>
                </c:pt>
                <c:pt idx="10">
                  <c:v>750</c:v>
                </c:pt>
                <c:pt idx="11">
                  <c:v>800</c:v>
                </c:pt>
                <c:pt idx="12">
                  <c:v>850</c:v>
                </c:pt>
                <c:pt idx="13">
                  <c:v>900</c:v>
                </c:pt>
                <c:pt idx="14">
                  <c:v>950</c:v>
                </c:pt>
                <c:pt idx="15">
                  <c:v>1000</c:v>
                </c:pt>
              </c:numCache>
            </c:numRef>
          </c:xVal>
          <c:yVal>
            <c:numRef>
              <c:f>Лист2!$G$25:$G$39</c:f>
              <c:numCache>
                <c:formatCode>General</c:formatCode>
                <c:ptCount val="15"/>
                <c:pt idx="0">
                  <c:v>0.14586304056240521</c:v>
                </c:pt>
                <c:pt idx="1">
                  <c:v>0.10248938065863104</c:v>
                </c:pt>
                <c:pt idx="2">
                  <c:v>9.4940406689563495E-2</c:v>
                </c:pt>
                <c:pt idx="3">
                  <c:v>9.7192057847965543E-2</c:v>
                </c:pt>
                <c:pt idx="4">
                  <c:v>7.1290494330442961E-2</c:v>
                </c:pt>
                <c:pt idx="5">
                  <c:v>4.6493003594026111E-2</c:v>
                </c:pt>
                <c:pt idx="6">
                  <c:v>4.4209089693718846E-2</c:v>
                </c:pt>
                <c:pt idx="7">
                  <c:v>3.4255033533311663E-2</c:v>
                </c:pt>
                <c:pt idx="8">
                  <c:v>2.0010754215829062E-2</c:v>
                </c:pt>
                <c:pt idx="9">
                  <c:v>1.3352736656229063E-2</c:v>
                </c:pt>
                <c:pt idx="10">
                  <c:v>4.4392906380571855E-3</c:v>
                </c:pt>
                <c:pt idx="11">
                  <c:v>1.4627311408806523E-3</c:v>
                </c:pt>
                <c:pt idx="12">
                  <c:v>5.1587816868340741E-4</c:v>
                </c:pt>
                <c:pt idx="13">
                  <c:v>1.9835438760893665E-4</c:v>
                </c:pt>
                <c:pt idx="14">
                  <c:v>8.3003270426893801E-5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DDF-E94A-9C99-2C420396971E}"/>
            </c:ext>
          </c:extLst>
        </c:ser>
        <c:ser>
          <c:idx val="7"/>
          <c:order val="5"/>
          <c:tx>
            <c:strRef>
              <c:f>Лист2!$J$24</c:f>
              <c:strCache>
                <c:ptCount val="1"/>
                <c:pt idx="0">
                  <c:v>C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Лист2!$B$25:$B$40</c:f>
              <c:numCache>
                <c:formatCode>General</c:formatCode>
                <c:ptCount val="16"/>
                <c:pt idx="0">
                  <c:v>560</c:v>
                </c:pt>
                <c:pt idx="1">
                  <c:v>565</c:v>
                </c:pt>
                <c:pt idx="2">
                  <c:v>570</c:v>
                </c:pt>
                <c:pt idx="3">
                  <c:v>580</c:v>
                </c:pt>
                <c:pt idx="4">
                  <c:v>600</c:v>
                </c:pt>
                <c:pt idx="5">
                  <c:v>630</c:v>
                </c:pt>
                <c:pt idx="6">
                  <c:v>633.5</c:v>
                </c:pt>
                <c:pt idx="7">
                  <c:v>650</c:v>
                </c:pt>
                <c:pt idx="8">
                  <c:v>680</c:v>
                </c:pt>
                <c:pt idx="9">
                  <c:v>700</c:v>
                </c:pt>
                <c:pt idx="10">
                  <c:v>750</c:v>
                </c:pt>
                <c:pt idx="11">
                  <c:v>800</c:v>
                </c:pt>
                <c:pt idx="12">
                  <c:v>850</c:v>
                </c:pt>
                <c:pt idx="13">
                  <c:v>900</c:v>
                </c:pt>
                <c:pt idx="14">
                  <c:v>950</c:v>
                </c:pt>
                <c:pt idx="15">
                  <c:v>1000</c:v>
                </c:pt>
              </c:numCache>
            </c:numRef>
          </c:xVal>
          <c:yVal>
            <c:numRef>
              <c:f>Лист2!$J$25:$J$40</c:f>
              <c:numCache>
                <c:formatCode>General</c:formatCode>
                <c:ptCount val="16"/>
                <c:pt idx="0">
                  <c:v>5.6301318902024389E-2</c:v>
                </c:pt>
                <c:pt idx="1">
                  <c:v>3.6610285358465368E-2</c:v>
                </c:pt>
                <c:pt idx="2">
                  <c:v>3.6021809371374947E-2</c:v>
                </c:pt>
                <c:pt idx="3">
                  <c:v>4.8448588943638231E-2</c:v>
                </c:pt>
                <c:pt idx="4">
                  <c:v>2.9358135628263386E-2</c:v>
                </c:pt>
                <c:pt idx="5">
                  <c:v>4.7047036843543578E-7</c:v>
                </c:pt>
                <c:pt idx="6">
                  <c:v>3.5581881706608203E-7</c:v>
                </c:pt>
                <c:pt idx="7">
                  <c:v>1.152107703692529E-9</c:v>
                </c:pt>
                <c:pt idx="8">
                  <c:v>8.0532572721102054E-12</c:v>
                </c:pt>
                <c:pt idx="9">
                  <c:v>3.0769084529745023E-12</c:v>
                </c:pt>
                <c:pt idx="10">
                  <c:v>1.0182547545308229E-17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1.0094612080991371E-17</c:v>
                </c:pt>
                <c:pt idx="1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DDF-E94A-9C99-2C4203969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29920"/>
        <c:axId val="2116785616"/>
      </c:scatterChart>
      <c:valAx>
        <c:axId val="2116629920"/>
        <c:scaling>
          <c:orientation val="minMax"/>
          <c:min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6785616"/>
        <c:crosses val="autoZero"/>
        <c:crossBetween val="midCat"/>
      </c:valAx>
      <c:valAx>
        <c:axId val="21167856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6629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Лист2!$C$95</c:f>
              <c:strCache>
                <c:ptCount val="1"/>
                <c:pt idx="0">
                  <c:v>СО2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Лист2!$B$96:$B$110</c:f>
              <c:numCache>
                <c:formatCode>General</c:formatCode>
                <c:ptCount val="15"/>
                <c:pt idx="0">
                  <c:v>695</c:v>
                </c:pt>
                <c:pt idx="1">
                  <c:v>700</c:v>
                </c:pt>
                <c:pt idx="2">
                  <c:v>710</c:v>
                </c:pt>
                <c:pt idx="3">
                  <c:v>720</c:v>
                </c:pt>
                <c:pt idx="4">
                  <c:v>730</c:v>
                </c:pt>
                <c:pt idx="5">
                  <c:v>735</c:v>
                </c:pt>
                <c:pt idx="6">
                  <c:v>740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  <c:pt idx="11">
                  <c:v>950</c:v>
                </c:pt>
                <c:pt idx="12">
                  <c:v>1000</c:v>
                </c:pt>
                <c:pt idx="13">
                  <c:v>1050</c:v>
                </c:pt>
                <c:pt idx="14">
                  <c:v>1100</c:v>
                </c:pt>
              </c:numCache>
            </c:numRef>
          </c:xVal>
          <c:yVal>
            <c:numRef>
              <c:f>Лист2!$C$96:$C$110</c:f>
              <c:numCache>
                <c:formatCode>General</c:formatCode>
                <c:ptCount val="15"/>
                <c:pt idx="0">
                  <c:v>6.8179018382498541E-2</c:v>
                </c:pt>
                <c:pt idx="1">
                  <c:v>6.6451118116552632E-2</c:v>
                </c:pt>
                <c:pt idx="2">
                  <c:v>6.7020797045496072E-2</c:v>
                </c:pt>
                <c:pt idx="3">
                  <c:v>6.7360430344999916E-2</c:v>
                </c:pt>
                <c:pt idx="4">
                  <c:v>6.6617127842317728E-2</c:v>
                </c:pt>
                <c:pt idx="5">
                  <c:v>6.6200017385925569E-2</c:v>
                </c:pt>
                <c:pt idx="6">
                  <c:v>6.5654075725899805E-2</c:v>
                </c:pt>
                <c:pt idx="7">
                  <c:v>6.4437271898909063E-2</c:v>
                </c:pt>
                <c:pt idx="8">
                  <c:v>5.772785023646082E-2</c:v>
                </c:pt>
                <c:pt idx="9">
                  <c:v>5.0484999461074681E-2</c:v>
                </c:pt>
                <c:pt idx="10">
                  <c:v>4.4321373232348457E-2</c:v>
                </c:pt>
                <c:pt idx="11">
                  <c:v>3.9471468937598259E-2</c:v>
                </c:pt>
                <c:pt idx="12">
                  <c:v>3.5619137913165913E-2</c:v>
                </c:pt>
                <c:pt idx="13">
                  <c:v>3.2446643693437208E-2</c:v>
                </c:pt>
                <c:pt idx="14">
                  <c:v>2.9755698183617962E-2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16-814A-BA73-1802CDF522F0}"/>
            </c:ext>
          </c:extLst>
        </c:ser>
        <c:ser>
          <c:idx val="1"/>
          <c:order val="1"/>
          <c:tx>
            <c:strRef>
              <c:f>Лист2!$D$95</c:f>
              <c:strCache>
                <c:ptCount val="1"/>
                <c:pt idx="0">
                  <c:v>СО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Лист2!$B$96:$B$110</c:f>
              <c:numCache>
                <c:formatCode>General</c:formatCode>
                <c:ptCount val="15"/>
                <c:pt idx="0">
                  <c:v>695</c:v>
                </c:pt>
                <c:pt idx="1">
                  <c:v>700</c:v>
                </c:pt>
                <c:pt idx="2">
                  <c:v>710</c:v>
                </c:pt>
                <c:pt idx="3">
                  <c:v>720</c:v>
                </c:pt>
                <c:pt idx="4">
                  <c:v>730</c:v>
                </c:pt>
                <c:pt idx="5">
                  <c:v>735</c:v>
                </c:pt>
                <c:pt idx="6">
                  <c:v>740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  <c:pt idx="11">
                  <c:v>950</c:v>
                </c:pt>
                <c:pt idx="12">
                  <c:v>1000</c:v>
                </c:pt>
                <c:pt idx="13">
                  <c:v>1050</c:v>
                </c:pt>
                <c:pt idx="14">
                  <c:v>1100</c:v>
                </c:pt>
              </c:numCache>
            </c:numRef>
          </c:xVal>
          <c:yVal>
            <c:numRef>
              <c:f>Лист2!$D$96:$D$110</c:f>
              <c:numCache>
                <c:formatCode>General</c:formatCode>
                <c:ptCount val="15"/>
                <c:pt idx="0">
                  <c:v>4.2672939596853386E-2</c:v>
                </c:pt>
                <c:pt idx="1">
                  <c:v>4.5858965403528879E-2</c:v>
                </c:pt>
                <c:pt idx="2">
                  <c:v>5.0872732133368202E-2</c:v>
                </c:pt>
                <c:pt idx="3">
                  <c:v>5.6117654289113236E-2</c:v>
                </c:pt>
                <c:pt idx="4">
                  <c:v>6.1014054503949131E-2</c:v>
                </c:pt>
                <c:pt idx="5">
                  <c:v>6.3552569992578259E-2</c:v>
                </c:pt>
                <c:pt idx="6">
                  <c:v>6.5974223698537532E-2</c:v>
                </c:pt>
                <c:pt idx="7">
                  <c:v>7.1174553079608543E-2</c:v>
                </c:pt>
                <c:pt idx="8">
                  <c:v>9.5404418871261193E-2</c:v>
                </c:pt>
                <c:pt idx="9">
                  <c:v>0.11552418127145347</c:v>
                </c:pt>
                <c:pt idx="10">
                  <c:v>0.12958481054107315</c:v>
                </c:pt>
                <c:pt idx="11">
                  <c:v>0.13855925493964724</c:v>
                </c:pt>
                <c:pt idx="12">
                  <c:v>0.14437397644934361</c:v>
                </c:pt>
                <c:pt idx="13">
                  <c:v>0.14845912576639494</c:v>
                </c:pt>
                <c:pt idx="14">
                  <c:v>0.15158354225147094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16-814A-BA73-1802CDF522F0}"/>
            </c:ext>
          </c:extLst>
        </c:ser>
        <c:ser>
          <c:idx val="2"/>
          <c:order val="2"/>
          <c:tx>
            <c:strRef>
              <c:f>Лист2!$E$95</c:f>
              <c:strCache>
                <c:ptCount val="1"/>
                <c:pt idx="0">
                  <c:v>Н2О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Лист2!$B$96:$B$110</c:f>
              <c:numCache>
                <c:formatCode>General</c:formatCode>
                <c:ptCount val="15"/>
                <c:pt idx="0">
                  <c:v>695</c:v>
                </c:pt>
                <c:pt idx="1">
                  <c:v>700</c:v>
                </c:pt>
                <c:pt idx="2">
                  <c:v>710</c:v>
                </c:pt>
                <c:pt idx="3">
                  <c:v>720</c:v>
                </c:pt>
                <c:pt idx="4">
                  <c:v>730</c:v>
                </c:pt>
                <c:pt idx="5">
                  <c:v>735</c:v>
                </c:pt>
                <c:pt idx="6">
                  <c:v>740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  <c:pt idx="11">
                  <c:v>950</c:v>
                </c:pt>
                <c:pt idx="12">
                  <c:v>1000</c:v>
                </c:pt>
                <c:pt idx="13">
                  <c:v>1050</c:v>
                </c:pt>
                <c:pt idx="14">
                  <c:v>1100</c:v>
                </c:pt>
              </c:numCache>
            </c:numRef>
          </c:xVal>
          <c:yVal>
            <c:numRef>
              <c:f>Лист2!$E$96:$E$110</c:f>
              <c:numCache>
                <c:formatCode>General</c:formatCode>
                <c:ptCount val="15"/>
                <c:pt idx="0">
                  <c:v>0.3779446675572779</c:v>
                </c:pt>
                <c:pt idx="1">
                  <c:v>0.35302006156544735</c:v>
                </c:pt>
                <c:pt idx="2">
                  <c:v>0.34906292887955664</c:v>
                </c:pt>
                <c:pt idx="3">
                  <c:v>0.34547666505044944</c:v>
                </c:pt>
                <c:pt idx="4">
                  <c:v>0.33703372495766082</c:v>
                </c:pt>
                <c:pt idx="5">
                  <c:v>0.33286748727164917</c:v>
                </c:pt>
                <c:pt idx="6">
                  <c:v>0.32845674934687846</c:v>
                </c:pt>
                <c:pt idx="7">
                  <c:v>0.31883637552540273</c:v>
                </c:pt>
                <c:pt idx="8">
                  <c:v>0.28466504091826739</c:v>
                </c:pt>
                <c:pt idx="9">
                  <c:v>0.26063556071772082</c:v>
                </c:pt>
                <c:pt idx="10">
                  <c:v>0.24762075189102381</c:v>
                </c:pt>
                <c:pt idx="11">
                  <c:v>0.24245391593194776</c:v>
                </c:pt>
                <c:pt idx="12">
                  <c:v>0.24154044149216827</c:v>
                </c:pt>
                <c:pt idx="13">
                  <c:v>0.24249648761839884</c:v>
                </c:pt>
                <c:pt idx="14">
                  <c:v>0.24413471790259472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E16-814A-BA73-1802CDF522F0}"/>
            </c:ext>
          </c:extLst>
        </c:ser>
        <c:ser>
          <c:idx val="3"/>
          <c:order val="3"/>
          <c:tx>
            <c:strRef>
              <c:f>Лист2!$F$95</c:f>
              <c:strCache>
                <c:ptCount val="1"/>
                <c:pt idx="0">
                  <c:v>Н2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Лист2!$B$96:$B$110</c:f>
              <c:numCache>
                <c:formatCode>General</c:formatCode>
                <c:ptCount val="15"/>
                <c:pt idx="0">
                  <c:v>695</c:v>
                </c:pt>
                <c:pt idx="1">
                  <c:v>700</c:v>
                </c:pt>
                <c:pt idx="2">
                  <c:v>710</c:v>
                </c:pt>
                <c:pt idx="3">
                  <c:v>720</c:v>
                </c:pt>
                <c:pt idx="4">
                  <c:v>730</c:v>
                </c:pt>
                <c:pt idx="5">
                  <c:v>735</c:v>
                </c:pt>
                <c:pt idx="6">
                  <c:v>740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  <c:pt idx="11">
                  <c:v>950</c:v>
                </c:pt>
                <c:pt idx="12">
                  <c:v>1000</c:v>
                </c:pt>
                <c:pt idx="13">
                  <c:v>1050</c:v>
                </c:pt>
                <c:pt idx="14">
                  <c:v>1100</c:v>
                </c:pt>
              </c:numCache>
            </c:numRef>
          </c:xVal>
          <c:yVal>
            <c:numRef>
              <c:f>Лист2!$F$96:$F$110</c:f>
              <c:numCache>
                <c:formatCode>General</c:formatCode>
                <c:ptCount val="15"/>
                <c:pt idx="0">
                  <c:v>0.38533830341929726</c:v>
                </c:pt>
                <c:pt idx="1">
                  <c:v>0.38813140955700681</c:v>
                </c:pt>
                <c:pt idx="2">
                  <c:v>0.42974451940387515</c:v>
                </c:pt>
                <c:pt idx="3">
                  <c:v>0.4386992658498069</c:v>
                </c:pt>
                <c:pt idx="4">
                  <c:v>0.44940194830284319</c:v>
                </c:pt>
                <c:pt idx="5">
                  <c:v>0.45555580936211248</c:v>
                </c:pt>
                <c:pt idx="6">
                  <c:v>0.4611846621198667</c:v>
                </c:pt>
                <c:pt idx="7">
                  <c:v>0.47082877590794608</c:v>
                </c:pt>
                <c:pt idx="8">
                  <c:v>0.51712382350307129</c:v>
                </c:pt>
                <c:pt idx="9">
                  <c:v>0.54851254394895355</c:v>
                </c:pt>
                <c:pt idx="10">
                  <c:v>0.56603992454746765</c:v>
                </c:pt>
                <c:pt idx="11">
                  <c:v>0.57356364056933662</c:v>
                </c:pt>
                <c:pt idx="12">
                  <c:v>0.57559848100069444</c:v>
                </c:pt>
                <c:pt idx="13">
                  <c:v>0.5751639520729338</c:v>
                </c:pt>
                <c:pt idx="14">
                  <c:v>0.57377341948888461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E16-814A-BA73-1802CDF522F0}"/>
            </c:ext>
          </c:extLst>
        </c:ser>
        <c:ser>
          <c:idx val="4"/>
          <c:order val="4"/>
          <c:tx>
            <c:strRef>
              <c:f>Лист2!$G$95</c:f>
              <c:strCache>
                <c:ptCount val="1"/>
                <c:pt idx="0">
                  <c:v>СН4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Лист2!$B$96:$B$110</c:f>
              <c:numCache>
                <c:formatCode>General</c:formatCode>
                <c:ptCount val="15"/>
                <c:pt idx="0">
                  <c:v>695</c:v>
                </c:pt>
                <c:pt idx="1">
                  <c:v>700</c:v>
                </c:pt>
                <c:pt idx="2">
                  <c:v>710</c:v>
                </c:pt>
                <c:pt idx="3">
                  <c:v>720</c:v>
                </c:pt>
                <c:pt idx="4">
                  <c:v>730</c:v>
                </c:pt>
                <c:pt idx="5">
                  <c:v>735</c:v>
                </c:pt>
                <c:pt idx="6">
                  <c:v>740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  <c:pt idx="11">
                  <c:v>950</c:v>
                </c:pt>
                <c:pt idx="12">
                  <c:v>1000</c:v>
                </c:pt>
                <c:pt idx="13">
                  <c:v>1050</c:v>
                </c:pt>
                <c:pt idx="14">
                  <c:v>1100</c:v>
                </c:pt>
              </c:numCache>
            </c:numRef>
          </c:xVal>
          <c:yVal>
            <c:numRef>
              <c:f>Лист2!$G$96:$G$110</c:f>
              <c:numCache>
                <c:formatCode>General</c:formatCode>
                <c:ptCount val="15"/>
                <c:pt idx="0">
                  <c:v>0.119636594038928</c:v>
                </c:pt>
                <c:pt idx="1">
                  <c:v>0.10802740132064627</c:v>
                </c:pt>
                <c:pt idx="2">
                  <c:v>9.117580545180938E-2</c:v>
                </c:pt>
                <c:pt idx="3">
                  <c:v>9.0595696576478105E-2</c:v>
                </c:pt>
                <c:pt idx="4">
                  <c:v>8.4935995001368794E-2</c:v>
                </c:pt>
                <c:pt idx="5">
                  <c:v>8.1726434515589905E-2</c:v>
                </c:pt>
                <c:pt idx="6">
                  <c:v>7.8344506314121445E-2</c:v>
                </c:pt>
                <c:pt idx="7">
                  <c:v>7.2164349445872022E-2</c:v>
                </c:pt>
                <c:pt idx="8">
                  <c:v>4.5078212025535844E-2</c:v>
                </c:pt>
                <c:pt idx="9">
                  <c:v>2.4842714486854153E-2</c:v>
                </c:pt>
                <c:pt idx="10">
                  <c:v>1.2433139787868688E-2</c:v>
                </c:pt>
                <c:pt idx="11">
                  <c:v>5.9517196214702254E-3</c:v>
                </c:pt>
                <c:pt idx="12">
                  <c:v>2.8679631446279479E-3</c:v>
                </c:pt>
                <c:pt idx="13">
                  <c:v>1.4337908488351195E-3</c:v>
                </c:pt>
                <c:pt idx="14">
                  <c:v>7.5262217343172015E-4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E16-814A-BA73-1802CDF522F0}"/>
            </c:ext>
          </c:extLst>
        </c:ser>
        <c:ser>
          <c:idx val="7"/>
          <c:order val="5"/>
          <c:tx>
            <c:strRef>
              <c:f>Лист2!$J$95</c:f>
              <c:strCache>
                <c:ptCount val="1"/>
                <c:pt idx="0">
                  <c:v>С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Лист2!$B$96:$B$110</c:f>
              <c:numCache>
                <c:formatCode>General</c:formatCode>
                <c:ptCount val="15"/>
                <c:pt idx="0">
                  <c:v>695</c:v>
                </c:pt>
                <c:pt idx="1">
                  <c:v>700</c:v>
                </c:pt>
                <c:pt idx="2">
                  <c:v>710</c:v>
                </c:pt>
                <c:pt idx="3">
                  <c:v>720</c:v>
                </c:pt>
                <c:pt idx="4">
                  <c:v>730</c:v>
                </c:pt>
                <c:pt idx="5">
                  <c:v>735</c:v>
                </c:pt>
                <c:pt idx="6">
                  <c:v>740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  <c:pt idx="11">
                  <c:v>950</c:v>
                </c:pt>
                <c:pt idx="12">
                  <c:v>1000</c:v>
                </c:pt>
                <c:pt idx="13">
                  <c:v>1050</c:v>
                </c:pt>
                <c:pt idx="14">
                  <c:v>1100</c:v>
                </c:pt>
              </c:numCache>
            </c:numRef>
          </c:xVal>
          <c:yVal>
            <c:numRef>
              <c:f>Лист2!$J$96:$J$110</c:f>
              <c:numCache>
                <c:formatCode>General</c:formatCode>
                <c:ptCount val="15"/>
                <c:pt idx="0">
                  <c:v>6.2284770051449206E-3</c:v>
                </c:pt>
                <c:pt idx="1">
                  <c:v>3.8511044036818168E-2</c:v>
                </c:pt>
                <c:pt idx="2">
                  <c:v>1.2123217085894762E-2</c:v>
                </c:pt>
                <c:pt idx="3">
                  <c:v>1.7502878891525499E-3</c:v>
                </c:pt>
                <c:pt idx="4">
                  <c:v>9.9714939186019156E-4</c:v>
                </c:pt>
                <c:pt idx="5">
                  <c:v>9.7681472144656043E-5</c:v>
                </c:pt>
                <c:pt idx="6">
                  <c:v>3.8578279469602122E-4</c:v>
                </c:pt>
                <c:pt idx="7">
                  <c:v>2.5586741422616199E-3</c:v>
                </c:pt>
                <c:pt idx="8">
                  <c:v>6.5444540352186768E-7</c:v>
                </c:pt>
                <c:pt idx="9">
                  <c:v>1.139432975931923E-10</c:v>
                </c:pt>
                <c:pt idx="10">
                  <c:v>2.1837546378466274E-13</c:v>
                </c:pt>
                <c:pt idx="11">
                  <c:v>2.0426154489907213E-17</c:v>
                </c:pt>
                <c:pt idx="12">
                  <c:v>0</c:v>
                </c:pt>
                <c:pt idx="13">
                  <c:v>0</c:v>
                </c:pt>
                <c:pt idx="14">
                  <c:v>5.0540644616215059E-18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E16-814A-BA73-1802CDF52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6402080"/>
        <c:axId val="1636737024"/>
      </c:scatterChart>
      <c:valAx>
        <c:axId val="1636402080"/>
        <c:scaling>
          <c:orientation val="minMax"/>
          <c:max val="1050"/>
          <c:min val="6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36737024"/>
        <c:crosses val="autoZero"/>
        <c:crossBetween val="midCat"/>
      </c:valAx>
      <c:valAx>
        <c:axId val="1636737024"/>
        <c:scaling>
          <c:orientation val="minMax"/>
          <c:max val="0.6000000000000000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36402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Лист2!$C$113</c:f>
              <c:strCache>
                <c:ptCount val="1"/>
                <c:pt idx="0">
                  <c:v>СО2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Лист2!$B$115:$B$131</c:f>
              <c:numCache>
                <c:formatCode>General</c:formatCode>
                <c:ptCount val="17"/>
                <c:pt idx="0">
                  <c:v>495</c:v>
                </c:pt>
                <c:pt idx="1">
                  <c:v>500</c:v>
                </c:pt>
                <c:pt idx="2">
                  <c:v>505</c:v>
                </c:pt>
                <c:pt idx="3">
                  <c:v>510</c:v>
                </c:pt>
                <c:pt idx="4">
                  <c:v>520</c:v>
                </c:pt>
                <c:pt idx="5">
                  <c:v>540</c:v>
                </c:pt>
                <c:pt idx="6">
                  <c:v>560</c:v>
                </c:pt>
                <c:pt idx="7">
                  <c:v>580</c:v>
                </c:pt>
                <c:pt idx="8">
                  <c:v>600</c:v>
                </c:pt>
                <c:pt idx="9">
                  <c:v>650</c:v>
                </c:pt>
                <c:pt idx="10">
                  <c:v>700</c:v>
                </c:pt>
                <c:pt idx="11">
                  <c:v>750</c:v>
                </c:pt>
                <c:pt idx="12">
                  <c:v>800</c:v>
                </c:pt>
                <c:pt idx="13">
                  <c:v>850</c:v>
                </c:pt>
                <c:pt idx="14">
                  <c:v>900</c:v>
                </c:pt>
                <c:pt idx="15">
                  <c:v>950</c:v>
                </c:pt>
                <c:pt idx="16">
                  <c:v>1000</c:v>
                </c:pt>
              </c:numCache>
            </c:numRef>
          </c:xVal>
          <c:yVal>
            <c:numRef>
              <c:f>Лист2!$C$115:$C$131</c:f>
              <c:numCache>
                <c:formatCode>General</c:formatCode>
                <c:ptCount val="17"/>
                <c:pt idx="0">
                  <c:v>9.6707907909386673E-2</c:v>
                </c:pt>
                <c:pt idx="1">
                  <c:v>9.8126029727836753E-2</c:v>
                </c:pt>
                <c:pt idx="2">
                  <c:v>9.7270267878822536E-2</c:v>
                </c:pt>
                <c:pt idx="3">
                  <c:v>9.8823528228013297E-2</c:v>
                </c:pt>
                <c:pt idx="4">
                  <c:v>9.8850707469425952E-2</c:v>
                </c:pt>
                <c:pt idx="5">
                  <c:v>9.7475224638792796E-2</c:v>
                </c:pt>
                <c:pt idx="6">
                  <c:v>9.4300891843638185E-2</c:v>
                </c:pt>
                <c:pt idx="7">
                  <c:v>8.9989111577787356E-2</c:v>
                </c:pt>
                <c:pt idx="8">
                  <c:v>8.5275857087605197E-2</c:v>
                </c:pt>
                <c:pt idx="9">
                  <c:v>7.4445381897871463E-2</c:v>
                </c:pt>
                <c:pt idx="10">
                  <c:v>6.5769499353132505E-2</c:v>
                </c:pt>
                <c:pt idx="11">
                  <c:v>5.8569113678001869E-2</c:v>
                </c:pt>
                <c:pt idx="12">
                  <c:v>5.2430056152730123E-2</c:v>
                </c:pt>
                <c:pt idx="13">
                  <c:v>4.7152099206340788E-2</c:v>
                </c:pt>
                <c:pt idx="14">
                  <c:v>4.2599067095007485E-2</c:v>
                </c:pt>
                <c:pt idx="15">
                  <c:v>3.8660557871823174E-2</c:v>
                </c:pt>
                <c:pt idx="16">
                  <c:v>3.5243127138190215E-2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0D-CD4E-A043-89C25AA20B53}"/>
            </c:ext>
          </c:extLst>
        </c:ser>
        <c:ser>
          <c:idx val="1"/>
          <c:order val="1"/>
          <c:tx>
            <c:strRef>
              <c:f>Лист2!$D$113</c:f>
              <c:strCache>
                <c:ptCount val="1"/>
                <c:pt idx="0">
                  <c:v>СО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Лист2!$B$115:$B$131</c:f>
              <c:numCache>
                <c:formatCode>General</c:formatCode>
                <c:ptCount val="17"/>
                <c:pt idx="0">
                  <c:v>495</c:v>
                </c:pt>
                <c:pt idx="1">
                  <c:v>500</c:v>
                </c:pt>
                <c:pt idx="2">
                  <c:v>505</c:v>
                </c:pt>
                <c:pt idx="3">
                  <c:v>510</c:v>
                </c:pt>
                <c:pt idx="4">
                  <c:v>520</c:v>
                </c:pt>
                <c:pt idx="5">
                  <c:v>540</c:v>
                </c:pt>
                <c:pt idx="6">
                  <c:v>560</c:v>
                </c:pt>
                <c:pt idx="7">
                  <c:v>580</c:v>
                </c:pt>
                <c:pt idx="8">
                  <c:v>600</c:v>
                </c:pt>
                <c:pt idx="9">
                  <c:v>650</c:v>
                </c:pt>
                <c:pt idx="10">
                  <c:v>700</c:v>
                </c:pt>
                <c:pt idx="11">
                  <c:v>750</c:v>
                </c:pt>
                <c:pt idx="12">
                  <c:v>800</c:v>
                </c:pt>
                <c:pt idx="13">
                  <c:v>850</c:v>
                </c:pt>
                <c:pt idx="14">
                  <c:v>900</c:v>
                </c:pt>
                <c:pt idx="15">
                  <c:v>950</c:v>
                </c:pt>
                <c:pt idx="16">
                  <c:v>1000</c:v>
                </c:pt>
              </c:numCache>
            </c:numRef>
          </c:xVal>
          <c:yVal>
            <c:numRef>
              <c:f>Лист2!$D$115:$D$131</c:f>
              <c:numCache>
                <c:formatCode>General</c:formatCode>
                <c:ptCount val="17"/>
                <c:pt idx="0">
                  <c:v>2.5054908700020525E-2</c:v>
                </c:pt>
                <c:pt idx="1">
                  <c:v>2.7958357980045631E-2</c:v>
                </c:pt>
                <c:pt idx="2">
                  <c:v>3.0040822091789165E-2</c:v>
                </c:pt>
                <c:pt idx="3">
                  <c:v>3.2925292550987167E-2</c:v>
                </c:pt>
                <c:pt idx="4">
                  <c:v>3.8254403225388228E-2</c:v>
                </c:pt>
                <c:pt idx="5">
                  <c:v>5.0550170569092945E-2</c:v>
                </c:pt>
                <c:pt idx="6">
                  <c:v>6.3263467422319322E-2</c:v>
                </c:pt>
                <c:pt idx="7">
                  <c:v>7.5457306013702763E-2</c:v>
                </c:pt>
                <c:pt idx="8">
                  <c:v>8.6158699038443129E-2</c:v>
                </c:pt>
                <c:pt idx="9">
                  <c:v>0.10460960914987176</c:v>
                </c:pt>
                <c:pt idx="10">
                  <c:v>0.11534967086768984</c:v>
                </c:pt>
                <c:pt idx="11">
                  <c:v>0.12305581625923948</c:v>
                </c:pt>
                <c:pt idx="12">
                  <c:v>0.12932819295463002</c:v>
                </c:pt>
                <c:pt idx="13">
                  <c:v>0.13464534231000996</c:v>
                </c:pt>
                <c:pt idx="14">
                  <c:v>0.13921118993347961</c:v>
                </c:pt>
                <c:pt idx="15">
                  <c:v>0.14315431520022731</c:v>
                </c:pt>
                <c:pt idx="16">
                  <c:v>0.14657355906689104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0D-CD4E-A043-89C25AA20B53}"/>
            </c:ext>
          </c:extLst>
        </c:ser>
        <c:ser>
          <c:idx val="2"/>
          <c:order val="2"/>
          <c:tx>
            <c:strRef>
              <c:f>Лист2!$E$113</c:f>
              <c:strCache>
                <c:ptCount val="1"/>
                <c:pt idx="0">
                  <c:v>Н2О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Лист2!$B$114:$B$131</c:f>
              <c:numCache>
                <c:formatCode>General</c:formatCode>
                <c:ptCount val="18"/>
                <c:pt idx="0">
                  <c:v>490</c:v>
                </c:pt>
                <c:pt idx="1">
                  <c:v>495</c:v>
                </c:pt>
                <c:pt idx="2">
                  <c:v>500</c:v>
                </c:pt>
                <c:pt idx="3">
                  <c:v>505</c:v>
                </c:pt>
                <c:pt idx="4">
                  <c:v>510</c:v>
                </c:pt>
                <c:pt idx="5">
                  <c:v>520</c:v>
                </c:pt>
                <c:pt idx="6">
                  <c:v>540</c:v>
                </c:pt>
                <c:pt idx="7">
                  <c:v>560</c:v>
                </c:pt>
                <c:pt idx="8">
                  <c:v>580</c:v>
                </c:pt>
                <c:pt idx="9">
                  <c:v>600</c:v>
                </c:pt>
                <c:pt idx="10">
                  <c:v>650</c:v>
                </c:pt>
                <c:pt idx="11">
                  <c:v>700</c:v>
                </c:pt>
                <c:pt idx="12">
                  <c:v>750</c:v>
                </c:pt>
                <c:pt idx="13">
                  <c:v>800</c:v>
                </c:pt>
                <c:pt idx="14">
                  <c:v>850</c:v>
                </c:pt>
                <c:pt idx="15">
                  <c:v>900</c:v>
                </c:pt>
                <c:pt idx="16">
                  <c:v>950</c:v>
                </c:pt>
                <c:pt idx="17">
                  <c:v>1000</c:v>
                </c:pt>
              </c:numCache>
            </c:numRef>
          </c:xVal>
          <c:yVal>
            <c:numRef>
              <c:f>Лист2!$E$114:$E$131</c:f>
              <c:numCache>
                <c:formatCode>General</c:formatCode>
                <c:ptCount val="18"/>
                <c:pt idx="0">
                  <c:v>0.34325442404992723</c:v>
                </c:pt>
                <c:pt idx="1">
                  <c:v>0.31844443399646866</c:v>
                </c:pt>
                <c:pt idx="2">
                  <c:v>0.30952483505262984</c:v>
                </c:pt>
                <c:pt idx="3">
                  <c:v>0.29851781319319454</c:v>
                </c:pt>
                <c:pt idx="4">
                  <c:v>0.29567212707618057</c:v>
                </c:pt>
                <c:pt idx="5">
                  <c:v>0.2825195804675672</c:v>
                </c:pt>
                <c:pt idx="6">
                  <c:v>0.25708682518289105</c:v>
                </c:pt>
                <c:pt idx="7">
                  <c:v>0.23732989201779789</c:v>
                </c:pt>
                <c:pt idx="8">
                  <c:v>0.22249812187703261</c:v>
                </c:pt>
                <c:pt idx="9">
                  <c:v>0.21266879246533865</c:v>
                </c:pt>
                <c:pt idx="10">
                  <c:v>0.20499249698618008</c:v>
                </c:pt>
                <c:pt idx="11">
                  <c:v>0.20865537296772754</c:v>
                </c:pt>
                <c:pt idx="12">
                  <c:v>0.21462748504584056</c:v>
                </c:pt>
                <c:pt idx="13">
                  <c:v>0.22044276744368094</c:v>
                </c:pt>
                <c:pt idx="14">
                  <c:v>0.22562554282537872</c:v>
                </c:pt>
                <c:pt idx="15">
                  <c:v>0.23014745155009536</c:v>
                </c:pt>
                <c:pt idx="16">
                  <c:v>0.23407475038176853</c:v>
                </c:pt>
                <c:pt idx="17">
                  <c:v>0.23748777779232672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0D-CD4E-A043-89C25AA20B53}"/>
            </c:ext>
          </c:extLst>
        </c:ser>
        <c:ser>
          <c:idx val="3"/>
          <c:order val="3"/>
          <c:tx>
            <c:strRef>
              <c:f>Лист2!$F$113</c:f>
              <c:strCache>
                <c:ptCount val="1"/>
                <c:pt idx="0">
                  <c:v>Н2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Лист2!$B$114:$B$131</c:f>
              <c:numCache>
                <c:formatCode>General</c:formatCode>
                <c:ptCount val="18"/>
                <c:pt idx="0">
                  <c:v>490</c:v>
                </c:pt>
                <c:pt idx="1">
                  <c:v>495</c:v>
                </c:pt>
                <c:pt idx="2">
                  <c:v>500</c:v>
                </c:pt>
                <c:pt idx="3">
                  <c:v>505</c:v>
                </c:pt>
                <c:pt idx="4">
                  <c:v>510</c:v>
                </c:pt>
                <c:pt idx="5">
                  <c:v>520</c:v>
                </c:pt>
                <c:pt idx="6">
                  <c:v>540</c:v>
                </c:pt>
                <c:pt idx="7">
                  <c:v>560</c:v>
                </c:pt>
                <c:pt idx="8">
                  <c:v>580</c:v>
                </c:pt>
                <c:pt idx="9">
                  <c:v>600</c:v>
                </c:pt>
                <c:pt idx="10">
                  <c:v>650</c:v>
                </c:pt>
                <c:pt idx="11">
                  <c:v>700</c:v>
                </c:pt>
                <c:pt idx="12">
                  <c:v>750</c:v>
                </c:pt>
                <c:pt idx="13">
                  <c:v>800</c:v>
                </c:pt>
                <c:pt idx="14">
                  <c:v>850</c:v>
                </c:pt>
                <c:pt idx="15">
                  <c:v>900</c:v>
                </c:pt>
                <c:pt idx="16">
                  <c:v>950</c:v>
                </c:pt>
                <c:pt idx="17">
                  <c:v>1000</c:v>
                </c:pt>
              </c:numCache>
            </c:numRef>
          </c:xVal>
          <c:yVal>
            <c:numRef>
              <c:f>Лист2!$F$114:$F$131</c:f>
              <c:numCache>
                <c:formatCode>General</c:formatCode>
                <c:ptCount val="18"/>
                <c:pt idx="0">
                  <c:v>0.40596533341651797</c:v>
                </c:pt>
                <c:pt idx="1">
                  <c:v>0.45450188012268028</c:v>
                </c:pt>
                <c:pt idx="2">
                  <c:v>0.47630321577755164</c:v>
                </c:pt>
                <c:pt idx="3">
                  <c:v>0.48531072881445853</c:v>
                </c:pt>
                <c:pt idx="4">
                  <c:v>0.49352810091939786</c:v>
                </c:pt>
                <c:pt idx="5">
                  <c:v>0.50981616664436968</c:v>
                </c:pt>
                <c:pt idx="6">
                  <c:v>0.54192734447491797</c:v>
                </c:pt>
                <c:pt idx="7">
                  <c:v>0.56698729108512091</c:v>
                </c:pt>
                <c:pt idx="8">
                  <c:v>0.58632845792335153</c:v>
                </c:pt>
                <c:pt idx="9">
                  <c:v>0.5995795250378918</c:v>
                </c:pt>
                <c:pt idx="10">
                  <c:v>0.61161035504110306</c:v>
                </c:pt>
                <c:pt idx="11">
                  <c:v>0.60912701001559955</c:v>
                </c:pt>
                <c:pt idx="12">
                  <c:v>0.60344390348972587</c:v>
                </c:pt>
                <c:pt idx="13">
                  <c:v>0.59770480347481059</c:v>
                </c:pt>
                <c:pt idx="14">
                  <c:v>0.59254442375539307</c:v>
                </c:pt>
                <c:pt idx="15">
                  <c:v>0.58802983818046883</c:v>
                </c:pt>
                <c:pt idx="16">
                  <c:v>0.58410517708797449</c:v>
                </c:pt>
                <c:pt idx="17">
                  <c:v>0.58069318575343409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0D-CD4E-A043-89C25AA20B53}"/>
            </c:ext>
          </c:extLst>
        </c:ser>
        <c:ser>
          <c:idx val="4"/>
          <c:order val="4"/>
          <c:tx>
            <c:strRef>
              <c:f>Лист2!$G$113</c:f>
              <c:strCache>
                <c:ptCount val="1"/>
                <c:pt idx="0">
                  <c:v>СН4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Лист2!$B$114:$B$131</c:f>
              <c:numCache>
                <c:formatCode>General</c:formatCode>
                <c:ptCount val="18"/>
                <c:pt idx="0">
                  <c:v>490</c:v>
                </c:pt>
                <c:pt idx="1">
                  <c:v>495</c:v>
                </c:pt>
                <c:pt idx="2">
                  <c:v>500</c:v>
                </c:pt>
                <c:pt idx="3">
                  <c:v>505</c:v>
                </c:pt>
                <c:pt idx="4">
                  <c:v>510</c:v>
                </c:pt>
                <c:pt idx="5">
                  <c:v>520</c:v>
                </c:pt>
                <c:pt idx="6">
                  <c:v>540</c:v>
                </c:pt>
                <c:pt idx="7">
                  <c:v>560</c:v>
                </c:pt>
                <c:pt idx="8">
                  <c:v>580</c:v>
                </c:pt>
                <c:pt idx="9">
                  <c:v>600</c:v>
                </c:pt>
                <c:pt idx="10">
                  <c:v>650</c:v>
                </c:pt>
                <c:pt idx="11">
                  <c:v>700</c:v>
                </c:pt>
                <c:pt idx="12">
                  <c:v>750</c:v>
                </c:pt>
                <c:pt idx="13">
                  <c:v>800</c:v>
                </c:pt>
                <c:pt idx="14">
                  <c:v>850</c:v>
                </c:pt>
                <c:pt idx="15">
                  <c:v>900</c:v>
                </c:pt>
                <c:pt idx="16">
                  <c:v>950</c:v>
                </c:pt>
                <c:pt idx="17">
                  <c:v>1000</c:v>
                </c:pt>
              </c:numCache>
            </c:numRef>
          </c:xVal>
          <c:yVal>
            <c:numRef>
              <c:f>Лист2!$G$114:$G$131</c:f>
              <c:numCache>
                <c:formatCode>General</c:formatCode>
                <c:ptCount val="18"/>
                <c:pt idx="0">
                  <c:v>0.10162728273781728</c:v>
                </c:pt>
                <c:pt idx="1">
                  <c:v>9.6750485604161773E-2</c:v>
                </c:pt>
                <c:pt idx="2">
                  <c:v>8.7447701824423324E-2</c:v>
                </c:pt>
                <c:pt idx="3">
                  <c:v>7.8874982934539373E-2</c:v>
                </c:pt>
                <c:pt idx="4">
                  <c:v>7.9019914477085618E-2</c:v>
                </c:pt>
                <c:pt idx="5">
                  <c:v>7.0459985212658213E-2</c:v>
                </c:pt>
                <c:pt idx="6">
                  <c:v>5.2821615697708109E-2</c:v>
                </c:pt>
                <c:pt idx="7">
                  <c:v>3.8117037263194799E-2</c:v>
                </c:pt>
                <c:pt idx="8">
                  <c:v>2.5726996041486965E-2</c:v>
                </c:pt>
                <c:pt idx="9">
                  <c:v>1.631712635947774E-2</c:v>
                </c:pt>
                <c:pt idx="10">
                  <c:v>4.3421569249737259E-3</c:v>
                </c:pt>
                <c:pt idx="11">
                  <c:v>1.0984467958506101E-3</c:v>
                </c:pt>
                <c:pt idx="12">
                  <c:v>3.0368152719218171E-4</c:v>
                </c:pt>
                <c:pt idx="13">
                  <c:v>9.4179974148332957E-5</c:v>
                </c:pt>
                <c:pt idx="14">
                  <c:v>3.2591902877326587E-5</c:v>
                </c:pt>
                <c:pt idx="15">
                  <c:v>1.2453240948888453E-5</c:v>
                </c:pt>
                <c:pt idx="16">
                  <c:v>5.199458206394571E-6</c:v>
                </c:pt>
                <c:pt idx="17">
                  <c:v>2.3502491580173326E-6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0D-CD4E-A043-89C25AA20B53}"/>
            </c:ext>
          </c:extLst>
        </c:ser>
        <c:ser>
          <c:idx val="5"/>
          <c:order val="5"/>
          <c:tx>
            <c:strRef>
              <c:f>Лист2!$H$113</c:f>
              <c:strCache>
                <c:ptCount val="1"/>
                <c:pt idx="0">
                  <c:v>О2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Лист2!$B$119:$B$131</c:f>
              <c:numCache>
                <c:formatCode>General</c:formatCode>
                <c:ptCount val="13"/>
                <c:pt idx="0">
                  <c:v>520</c:v>
                </c:pt>
                <c:pt idx="1">
                  <c:v>540</c:v>
                </c:pt>
                <c:pt idx="2">
                  <c:v>560</c:v>
                </c:pt>
                <c:pt idx="3">
                  <c:v>580</c:v>
                </c:pt>
                <c:pt idx="4">
                  <c:v>600</c:v>
                </c:pt>
                <c:pt idx="5">
                  <c:v>650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  <c:pt idx="11">
                  <c:v>950</c:v>
                </c:pt>
                <c:pt idx="12">
                  <c:v>1000</c:v>
                </c:pt>
              </c:numCache>
            </c:numRef>
          </c:xVal>
          <c:yVal>
            <c:numRef>
              <c:f>Лист2!$H$119:$H$131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0D-CD4E-A043-89C25AA20B53}"/>
            </c:ext>
          </c:extLst>
        </c:ser>
        <c:ser>
          <c:idx val="6"/>
          <c:order val="6"/>
          <c:tx>
            <c:strRef>
              <c:f>Лист2!$I$113</c:f>
              <c:strCache>
                <c:ptCount val="1"/>
                <c:pt idx="0">
                  <c:v>N2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Лист2!$B$119:$B$131</c:f>
              <c:numCache>
                <c:formatCode>General</c:formatCode>
                <c:ptCount val="13"/>
                <c:pt idx="0">
                  <c:v>520</c:v>
                </c:pt>
                <c:pt idx="1">
                  <c:v>540</c:v>
                </c:pt>
                <c:pt idx="2">
                  <c:v>560</c:v>
                </c:pt>
                <c:pt idx="3">
                  <c:v>580</c:v>
                </c:pt>
                <c:pt idx="4">
                  <c:v>600</c:v>
                </c:pt>
                <c:pt idx="5">
                  <c:v>650</c:v>
                </c:pt>
                <c:pt idx="6">
                  <c:v>700</c:v>
                </c:pt>
                <c:pt idx="7">
                  <c:v>750</c:v>
                </c:pt>
                <c:pt idx="8">
                  <c:v>800</c:v>
                </c:pt>
                <c:pt idx="9">
                  <c:v>850</c:v>
                </c:pt>
                <c:pt idx="10">
                  <c:v>900</c:v>
                </c:pt>
                <c:pt idx="11">
                  <c:v>950</c:v>
                </c:pt>
                <c:pt idx="12">
                  <c:v>1000</c:v>
                </c:pt>
              </c:numCache>
            </c:numRef>
          </c:xVal>
          <c:yVal>
            <c:numRef>
              <c:f>Лист2!$I$119:$I$131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70D-CD4E-A043-89C25AA20B53}"/>
            </c:ext>
          </c:extLst>
        </c:ser>
        <c:ser>
          <c:idx val="7"/>
          <c:order val="7"/>
          <c:tx>
            <c:strRef>
              <c:f>Лист2!$J$113</c:f>
              <c:strCache>
                <c:ptCount val="1"/>
                <c:pt idx="0">
                  <c:v>С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Лист2!$B$114:$B$131</c:f>
              <c:numCache>
                <c:formatCode>General</c:formatCode>
                <c:ptCount val="18"/>
                <c:pt idx="0">
                  <c:v>490</c:v>
                </c:pt>
                <c:pt idx="1">
                  <c:v>495</c:v>
                </c:pt>
                <c:pt idx="2">
                  <c:v>500</c:v>
                </c:pt>
                <c:pt idx="3">
                  <c:v>505</c:v>
                </c:pt>
                <c:pt idx="4">
                  <c:v>510</c:v>
                </c:pt>
                <c:pt idx="5">
                  <c:v>520</c:v>
                </c:pt>
                <c:pt idx="6">
                  <c:v>540</c:v>
                </c:pt>
                <c:pt idx="7">
                  <c:v>560</c:v>
                </c:pt>
                <c:pt idx="8">
                  <c:v>580</c:v>
                </c:pt>
                <c:pt idx="9">
                  <c:v>600</c:v>
                </c:pt>
                <c:pt idx="10">
                  <c:v>650</c:v>
                </c:pt>
                <c:pt idx="11">
                  <c:v>700</c:v>
                </c:pt>
                <c:pt idx="12">
                  <c:v>750</c:v>
                </c:pt>
                <c:pt idx="13">
                  <c:v>800</c:v>
                </c:pt>
                <c:pt idx="14">
                  <c:v>850</c:v>
                </c:pt>
                <c:pt idx="15">
                  <c:v>900</c:v>
                </c:pt>
                <c:pt idx="16">
                  <c:v>950</c:v>
                </c:pt>
                <c:pt idx="17">
                  <c:v>1000</c:v>
                </c:pt>
              </c:numCache>
            </c:numRef>
          </c:xVal>
          <c:yVal>
            <c:numRef>
              <c:f>Лист2!$J$114:$J$131</c:f>
              <c:numCache>
                <c:formatCode>General</c:formatCode>
                <c:ptCount val="18"/>
                <c:pt idx="0">
                  <c:v>4.7879877167133988E-2</c:v>
                </c:pt>
                <c:pt idx="1">
                  <c:v>8.5403836672820147E-3</c:v>
                </c:pt>
                <c:pt idx="2">
                  <c:v>6.3985963751280036E-4</c:v>
                </c:pt>
                <c:pt idx="3">
                  <c:v>9.985385087195776E-3</c:v>
                </c:pt>
                <c:pt idx="4">
                  <c:v>3.1036748335496671E-5</c:v>
                </c:pt>
                <c:pt idx="5">
                  <c:v>9.9156980590625881E-5</c:v>
                </c:pt>
                <c:pt idx="6">
                  <c:v>1.3881943659732328E-4</c:v>
                </c:pt>
                <c:pt idx="7">
                  <c:v>1.4203679289162496E-6</c:v>
                </c:pt>
                <c:pt idx="8">
                  <c:v>6.5666387040025309E-9</c:v>
                </c:pt>
                <c:pt idx="9">
                  <c:v>1.1243345292014946E-11</c:v>
                </c:pt>
                <c:pt idx="10">
                  <c:v>5.090293408247457E-18</c:v>
                </c:pt>
                <c:pt idx="11">
                  <c:v>0</c:v>
                </c:pt>
                <c:pt idx="12">
                  <c:v>1.0099066664294917E-17</c:v>
                </c:pt>
                <c:pt idx="13">
                  <c:v>0</c:v>
                </c:pt>
                <c:pt idx="14">
                  <c:v>1.0093594483519436E-17</c:v>
                </c:pt>
                <c:pt idx="15">
                  <c:v>5.0465939835219179E-18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70D-CD4E-A043-89C25AA20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678800"/>
        <c:axId val="1659256464"/>
      </c:scatterChart>
      <c:valAx>
        <c:axId val="1687678800"/>
        <c:scaling>
          <c:orientation val="minMax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9256464"/>
        <c:crosses val="autoZero"/>
        <c:crossBetween val="midCat"/>
      </c:valAx>
      <c:valAx>
        <c:axId val="1659256464"/>
        <c:scaling>
          <c:orientation val="minMax"/>
          <c:max val="0.7000000000000000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7678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451332</xdr:colOff>
      <xdr:row>39</xdr:row>
      <xdr:rowOff>174337</xdr:rowOff>
    </xdr:from>
    <xdr:to>
      <xdr:col>20</xdr:col>
      <xdr:colOff>290946</xdr:colOff>
      <xdr:row>60</xdr:row>
      <xdr:rowOff>60037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A211E9FB-BDA9-B23C-5BA5-EF6C21E92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357332</xdr:colOff>
      <xdr:row>61</xdr:row>
      <xdr:rowOff>24244</xdr:rowOff>
    </xdr:from>
    <xdr:to>
      <xdr:col>20</xdr:col>
      <xdr:colOff>188768</xdr:colOff>
      <xdr:row>77</xdr:row>
      <xdr:rowOff>126999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10FF9B52-F6E2-DFF7-79FF-A4E41A153D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262658</xdr:colOff>
      <xdr:row>61</xdr:row>
      <xdr:rowOff>1154</xdr:rowOff>
    </xdr:from>
    <xdr:to>
      <xdr:col>25</xdr:col>
      <xdr:colOff>463549</xdr:colOff>
      <xdr:row>77</xdr:row>
      <xdr:rowOff>63500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B4E2BFDE-2FDB-D70D-751C-9275AA6862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11</xdr:row>
          <xdr:rowOff>198120</xdr:rowOff>
        </xdr:from>
        <xdr:to>
          <xdr:col>5</xdr:col>
          <xdr:colOff>731520</xdr:colOff>
          <xdr:row>14</xdr:row>
          <xdr:rowOff>99060</xdr:rowOff>
        </xdr:to>
        <xdr:sp macro="" textlink="">
          <xdr:nvSpPr>
            <xdr:cNvPr id="4558" name="Start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806450</xdr:colOff>
      <xdr:row>0</xdr:row>
      <xdr:rowOff>38100</xdr:rowOff>
    </xdr:from>
    <xdr:to>
      <xdr:col>19</xdr:col>
      <xdr:colOff>177800</xdr:colOff>
      <xdr:row>21</xdr:row>
      <xdr:rowOff>50800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302E099-0B61-4101-5125-555BD90AB6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95797</xdr:colOff>
      <xdr:row>0</xdr:row>
      <xdr:rowOff>10584</xdr:rowOff>
    </xdr:from>
    <xdr:to>
      <xdr:col>15</xdr:col>
      <xdr:colOff>540297</xdr:colOff>
      <xdr:row>19</xdr:row>
      <xdr:rowOff>127000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7CEC500-316E-6074-E7A4-9B02FEE274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102344</xdr:colOff>
      <xdr:row>41</xdr:row>
      <xdr:rowOff>74910</xdr:rowOff>
    </xdr:from>
    <xdr:to>
      <xdr:col>15</xdr:col>
      <xdr:colOff>573302</xdr:colOff>
      <xdr:row>59</xdr:row>
      <xdr:rowOff>12026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BED9427-7D51-4F34-AC3D-9D46C250BD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219861</xdr:colOff>
      <xdr:row>0</xdr:row>
      <xdr:rowOff>7646</xdr:rowOff>
    </xdr:from>
    <xdr:to>
      <xdr:col>30</xdr:col>
      <xdr:colOff>695087</xdr:colOff>
      <xdr:row>16</xdr:row>
      <xdr:rowOff>92364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0043B0A-B897-5FC8-0789-5C399B7ABD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124269</xdr:colOff>
      <xdr:row>0</xdr:row>
      <xdr:rowOff>21168</xdr:rowOff>
    </xdr:from>
    <xdr:to>
      <xdr:col>46</xdr:col>
      <xdr:colOff>599494</xdr:colOff>
      <xdr:row>17</xdr:row>
      <xdr:rowOff>25400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E6E00E27-0673-3CA8-840C-B636014739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113564</xdr:colOff>
      <xdr:row>59</xdr:row>
      <xdr:rowOff>137935</xdr:rowOff>
    </xdr:from>
    <xdr:to>
      <xdr:col>15</xdr:col>
      <xdr:colOff>793750</xdr:colOff>
      <xdr:row>77</xdr:row>
      <xdr:rowOff>166510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CE5E2A1B-C213-818A-5890-739F95D3F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134459</xdr:colOff>
      <xdr:row>77</xdr:row>
      <xdr:rowOff>197160</xdr:rowOff>
    </xdr:from>
    <xdr:to>
      <xdr:col>16</xdr:col>
      <xdr:colOff>0</xdr:colOff>
      <xdr:row>96</xdr:row>
      <xdr:rowOff>161636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5291EEB-A4B4-556C-7C4F-BCEF3B61B9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34635</xdr:colOff>
      <xdr:row>53</xdr:row>
      <xdr:rowOff>2310</xdr:rowOff>
    </xdr:from>
    <xdr:to>
      <xdr:col>30</xdr:col>
      <xdr:colOff>450271</xdr:colOff>
      <xdr:row>66</xdr:row>
      <xdr:rowOff>43873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230CD476-1DCF-4633-F13E-DE43FCCF32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105641</xdr:colOff>
      <xdr:row>19</xdr:row>
      <xdr:rowOff>168565</xdr:rowOff>
    </xdr:from>
    <xdr:to>
      <xdr:col>15</xdr:col>
      <xdr:colOff>550141</xdr:colOff>
      <xdr:row>41</xdr:row>
      <xdr:rowOff>80819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61CD48FE-A52D-C285-1DFA-BD742AFE5A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127001</xdr:colOff>
      <xdr:row>97</xdr:row>
      <xdr:rowOff>25398</xdr:rowOff>
    </xdr:from>
    <xdr:to>
      <xdr:col>15</xdr:col>
      <xdr:colOff>542637</xdr:colOff>
      <xdr:row>117</xdr:row>
      <xdr:rowOff>138545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E4923D5F-6D80-C496-324A-F5EBFEFD41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176388</xdr:colOff>
      <xdr:row>117</xdr:row>
      <xdr:rowOff>124176</xdr:rowOff>
    </xdr:from>
    <xdr:to>
      <xdr:col>15</xdr:col>
      <xdr:colOff>585611</xdr:colOff>
      <xdr:row>135</xdr:row>
      <xdr:rowOff>155222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DF661883-6895-A2F6-0757-16B9327BDB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H156"/>
  <sheetViews>
    <sheetView tabSelected="1" zoomScale="85" zoomScaleNormal="85" workbookViewId="0">
      <selection activeCell="H13" sqref="H13"/>
    </sheetView>
  </sheetViews>
  <sheetFormatPr defaultColWidth="11.19921875" defaultRowHeight="15.6"/>
  <cols>
    <col min="1" max="1" width="13.19921875" customWidth="1"/>
    <col min="2" max="2" width="13" bestFit="1" customWidth="1"/>
    <col min="3" max="3" width="13.19921875" bestFit="1" customWidth="1"/>
    <col min="4" max="4" width="13.5" bestFit="1" customWidth="1"/>
    <col min="5" max="6" width="14" customWidth="1"/>
    <col min="7" max="9" width="12.796875" bestFit="1" customWidth="1"/>
    <col min="10" max="10" width="13.5" customWidth="1"/>
    <col min="11" max="11" width="12.796875" bestFit="1" customWidth="1"/>
    <col min="12" max="12" width="11.69921875" bestFit="1" customWidth="1"/>
    <col min="13" max="13" width="12.296875" bestFit="1" customWidth="1"/>
    <col min="14" max="14" width="13.5" bestFit="1" customWidth="1"/>
    <col min="15" max="15" width="11.69921875" bestFit="1" customWidth="1"/>
    <col min="16" max="17" width="12.19921875" bestFit="1" customWidth="1"/>
    <col min="18" max="18" width="12.796875" bestFit="1" customWidth="1"/>
    <col min="19" max="19" width="12.19921875" bestFit="1" customWidth="1"/>
    <col min="20" max="20" width="12.796875" bestFit="1" customWidth="1"/>
    <col min="21" max="21" width="11.19921875" bestFit="1" customWidth="1"/>
    <col min="22" max="22" width="12.296875" bestFit="1" customWidth="1"/>
    <col min="23" max="23" width="12.19921875" bestFit="1" customWidth="1"/>
    <col min="36" max="60" width="10.796875" style="3"/>
  </cols>
  <sheetData>
    <row r="1" spans="1:60" ht="30">
      <c r="A1" s="106" t="s">
        <v>178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</row>
    <row r="2" spans="1:60" ht="24" customHeight="1" thickBot="1">
      <c r="A2" s="37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</row>
    <row r="3" spans="1:60" ht="24" customHeight="1">
      <c r="A3" s="18"/>
      <c r="B3" s="40"/>
      <c r="C3" s="41"/>
      <c r="D3" s="41"/>
      <c r="E3" s="41"/>
      <c r="F3" s="41"/>
      <c r="G3" s="42" t="s">
        <v>177</v>
      </c>
      <c r="H3" s="41"/>
      <c r="I3" s="41"/>
      <c r="J3" s="41"/>
      <c r="K3" s="41"/>
      <c r="L3" s="41"/>
      <c r="M3" s="4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</row>
    <row r="4" spans="1:60" s="23" customFormat="1" ht="19.05" customHeight="1">
      <c r="A4" s="21"/>
      <c r="B4" s="58" t="s">
        <v>156</v>
      </c>
      <c r="C4" s="99"/>
      <c r="D4" s="99"/>
      <c r="E4" s="99"/>
      <c r="F4" s="100" t="s">
        <v>154</v>
      </c>
      <c r="G4" s="99"/>
      <c r="H4" s="99"/>
      <c r="I4" s="99"/>
      <c r="J4" s="100" t="s">
        <v>155</v>
      </c>
      <c r="K4" s="99"/>
      <c r="L4" s="99"/>
      <c r="M4" s="44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</row>
    <row r="5" spans="1:60" ht="21">
      <c r="A5" s="3"/>
      <c r="B5" s="45"/>
      <c r="C5" s="99" t="s">
        <v>144</v>
      </c>
      <c r="D5" s="99"/>
      <c r="E5" s="99"/>
      <c r="F5" s="99"/>
      <c r="G5" s="99" t="s">
        <v>94</v>
      </c>
      <c r="H5" s="99" t="s">
        <v>75</v>
      </c>
      <c r="I5" s="99"/>
      <c r="J5" s="99"/>
      <c r="K5" s="99" t="s">
        <v>2</v>
      </c>
      <c r="L5" s="99" t="s">
        <v>1</v>
      </c>
      <c r="M5" s="46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</row>
    <row r="6" spans="1:60" ht="21">
      <c r="A6" s="3"/>
      <c r="B6" s="47" t="s">
        <v>13</v>
      </c>
      <c r="C6" s="38">
        <v>0</v>
      </c>
      <c r="D6" s="99"/>
      <c r="E6" s="101" t="s">
        <v>145</v>
      </c>
      <c r="F6" s="99"/>
      <c r="G6" s="74">
        <f>C8/(C6+3*C7)</f>
        <v>2.9999999999999996</v>
      </c>
      <c r="H6" s="99" t="s">
        <v>76</v>
      </c>
      <c r="I6" s="99"/>
      <c r="J6" s="101" t="s">
        <v>0</v>
      </c>
      <c r="K6" s="22">
        <v>400</v>
      </c>
      <c r="L6" s="102">
        <f>K6+273</f>
        <v>673</v>
      </c>
      <c r="M6" s="46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</row>
    <row r="7" spans="1:60" ht="21">
      <c r="A7" s="3"/>
      <c r="B7" s="48" t="s">
        <v>93</v>
      </c>
      <c r="C7" s="38">
        <v>0.1</v>
      </c>
      <c r="D7" s="99"/>
      <c r="E7" s="101" t="s">
        <v>146</v>
      </c>
      <c r="F7" s="99"/>
      <c r="G7" s="74">
        <f>C11/(C6+3*C7)</f>
        <v>0</v>
      </c>
      <c r="H7" s="22" t="s">
        <v>75</v>
      </c>
      <c r="I7" s="99"/>
      <c r="J7" s="103"/>
      <c r="K7" s="99" t="s">
        <v>98</v>
      </c>
      <c r="L7" s="99" t="s">
        <v>99</v>
      </c>
      <c r="M7" s="46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</row>
    <row r="8" spans="1:60" ht="21">
      <c r="A8" s="3"/>
      <c r="B8" s="47" t="s">
        <v>57</v>
      </c>
      <c r="C8" s="39">
        <v>0.9</v>
      </c>
      <c r="D8" s="99"/>
      <c r="E8" s="101" t="s">
        <v>174</v>
      </c>
      <c r="F8" s="99"/>
      <c r="G8" s="74">
        <f>C9/(C6+3*C7)</f>
        <v>0</v>
      </c>
      <c r="H8" s="99"/>
      <c r="I8" s="99"/>
      <c r="J8" s="101" t="s">
        <v>3</v>
      </c>
      <c r="K8" s="22">
        <v>1</v>
      </c>
      <c r="L8" s="102">
        <f>K8*100000</f>
        <v>100000</v>
      </c>
      <c r="M8" s="46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</row>
    <row r="9" spans="1:60" ht="21">
      <c r="A9" s="3"/>
      <c r="B9" s="47" t="s">
        <v>53</v>
      </c>
      <c r="C9" s="39">
        <v>0</v>
      </c>
      <c r="D9" s="99"/>
      <c r="E9" s="101" t="s">
        <v>176</v>
      </c>
      <c r="F9" s="99"/>
      <c r="G9" s="74">
        <f>(C8+2*C9+C10)/(C6+3*C7+C9+C10)</f>
        <v>2.9999999999999996</v>
      </c>
      <c r="H9" s="99"/>
      <c r="I9" s="99"/>
      <c r="J9" s="103"/>
      <c r="K9" s="104"/>
      <c r="L9" s="99"/>
      <c r="M9" s="46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</row>
    <row r="10" spans="1:60" ht="21">
      <c r="A10" s="3"/>
      <c r="B10" s="47" t="s">
        <v>55</v>
      </c>
      <c r="C10" s="39">
        <v>0</v>
      </c>
      <c r="D10" s="99"/>
      <c r="E10" s="101" t="s">
        <v>175</v>
      </c>
      <c r="F10" s="99"/>
      <c r="G10" s="74">
        <f>C8/(C6+3*C7+C9+C10)</f>
        <v>2.9999999999999996</v>
      </c>
      <c r="H10" s="99"/>
      <c r="I10" s="99"/>
      <c r="J10" s="101" t="s">
        <v>179</v>
      </c>
      <c r="K10" s="107" t="s">
        <v>180</v>
      </c>
      <c r="L10" s="99"/>
      <c r="M10" s="46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</row>
    <row r="11" spans="1:60" ht="21">
      <c r="A11" s="3"/>
      <c r="B11" s="47" t="s">
        <v>70</v>
      </c>
      <c r="C11" s="38">
        <v>0</v>
      </c>
      <c r="D11" s="105"/>
      <c r="E11" s="105"/>
      <c r="F11" s="105"/>
      <c r="G11" s="105"/>
      <c r="H11" s="105"/>
      <c r="I11" s="105"/>
      <c r="J11" s="105"/>
      <c r="K11" s="105"/>
      <c r="L11" s="105"/>
      <c r="M11" s="46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</row>
    <row r="12" spans="1:60" ht="21">
      <c r="A12" s="3"/>
      <c r="B12" s="47" t="s">
        <v>4</v>
      </c>
      <c r="C12" s="38">
        <v>0</v>
      </c>
      <c r="D12" s="105"/>
      <c r="E12" s="105"/>
      <c r="F12" s="105"/>
      <c r="G12" s="105"/>
      <c r="H12" s="105"/>
      <c r="I12" s="105"/>
      <c r="J12" s="105"/>
      <c r="K12" s="105"/>
      <c r="L12" s="105"/>
      <c r="M12" s="46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</row>
    <row r="13" spans="1:60" ht="21">
      <c r="A13" s="3"/>
      <c r="B13" s="47" t="s">
        <v>59</v>
      </c>
      <c r="C13" s="38">
        <v>0</v>
      </c>
      <c r="D13" s="105"/>
      <c r="E13" s="105"/>
      <c r="F13" s="105"/>
      <c r="G13" s="105"/>
      <c r="H13" s="105"/>
      <c r="I13" s="105"/>
      <c r="J13" s="105"/>
      <c r="K13" s="105"/>
      <c r="L13" s="105"/>
      <c r="M13" s="46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</row>
    <row r="14" spans="1:60" ht="21">
      <c r="A14" s="3"/>
      <c r="B14" s="45" t="s">
        <v>142</v>
      </c>
      <c r="C14" s="95">
        <f>SUM(C6:C13)</f>
        <v>1</v>
      </c>
      <c r="D14" s="105"/>
      <c r="E14" s="105"/>
      <c r="F14" s="105"/>
      <c r="G14" s="105"/>
      <c r="H14" s="105"/>
      <c r="I14" s="105"/>
      <c r="J14" s="105"/>
      <c r="K14" s="105"/>
      <c r="L14" s="105"/>
      <c r="M14" s="46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</row>
    <row r="15" spans="1:60" ht="21.6" thickBot="1">
      <c r="A15" s="3"/>
      <c r="B15" s="49"/>
      <c r="C15" s="51"/>
      <c r="D15" s="50"/>
      <c r="E15" s="50"/>
      <c r="F15" s="50"/>
      <c r="G15" s="50"/>
      <c r="H15" s="50"/>
      <c r="I15" s="50"/>
      <c r="J15" s="50"/>
      <c r="K15" s="50"/>
      <c r="L15" s="50"/>
      <c r="M15" s="52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</row>
    <row r="16" spans="1:60" ht="21" customHeight="1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</row>
    <row r="17" spans="1:60" ht="18">
      <c r="A17" s="3"/>
      <c r="B17" s="3"/>
      <c r="C17" s="3"/>
      <c r="D17" s="12" t="s">
        <v>104</v>
      </c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</row>
    <row r="18" spans="1:60" s="28" customFormat="1">
      <c r="A18" s="4" t="s">
        <v>106</v>
      </c>
      <c r="B18" s="4"/>
      <c r="C18" s="4"/>
      <c r="D18" s="4"/>
      <c r="E18" s="20"/>
      <c r="F18" s="20"/>
      <c r="G18" s="20"/>
      <c r="H18" s="4" t="s">
        <v>105</v>
      </c>
      <c r="I18" s="20"/>
      <c r="J18" s="20"/>
      <c r="K18" s="20"/>
      <c r="L18" s="20"/>
      <c r="M18" s="20"/>
      <c r="N18" s="20"/>
      <c r="O18" s="4" t="s">
        <v>112</v>
      </c>
      <c r="P18" s="20"/>
      <c r="Q18" s="20"/>
      <c r="R18" s="20"/>
      <c r="S18" s="4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</row>
    <row r="19" spans="1:60">
      <c r="A19" s="3"/>
      <c r="B19" s="3"/>
      <c r="C19" s="3" t="s">
        <v>97</v>
      </c>
      <c r="D19" s="20" t="s">
        <v>95</v>
      </c>
      <c r="E19" s="20" t="s">
        <v>96</v>
      </c>
      <c r="F19" s="3"/>
      <c r="G19" s="3"/>
      <c r="H19" s="3" t="s">
        <v>16</v>
      </c>
      <c r="I19" s="3" t="s">
        <v>17</v>
      </c>
      <c r="J19" s="3" t="s">
        <v>18</v>
      </c>
      <c r="K19" s="3" t="s">
        <v>19</v>
      </c>
      <c r="L19" s="5" t="s">
        <v>27</v>
      </c>
      <c r="M19" s="6" t="s">
        <v>28</v>
      </c>
      <c r="N19" s="3"/>
      <c r="O19" s="3"/>
      <c r="P19" s="4"/>
      <c r="Q19" s="3"/>
      <c r="R19" s="4" t="s">
        <v>100</v>
      </c>
      <c r="S19" s="4" t="s">
        <v>101</v>
      </c>
      <c r="T19" s="4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</row>
    <row r="20" spans="1:60">
      <c r="A20" s="3"/>
      <c r="B20" s="3" t="s">
        <v>8</v>
      </c>
      <c r="C20" s="3">
        <v>14.31</v>
      </c>
      <c r="D20" s="2">
        <f>4.17*(6.52+0.00078*L6+1200/L6^2)</f>
        <v>29.388447889214866</v>
      </c>
      <c r="E20" s="2">
        <f>D20/2</f>
        <v>14.694223944607433</v>
      </c>
      <c r="F20" s="3"/>
      <c r="G20" s="3" t="s">
        <v>59</v>
      </c>
      <c r="H20" s="3">
        <v>0</v>
      </c>
      <c r="I20" s="3">
        <v>0</v>
      </c>
      <c r="J20" s="3">
        <v>130.6</v>
      </c>
      <c r="K20" s="3"/>
      <c r="L20" s="2">
        <f>H20+($L$6-298)*(C20*2+D20)/2000</f>
        <v>10.876583979227787</v>
      </c>
      <c r="M20" s="2">
        <f>J20+(C20*2/2+D20/2)*LN($L$6/298)-8.31*LN($K$8)</f>
        <v>154.22834449530012</v>
      </c>
      <c r="N20" s="3"/>
      <c r="O20" s="3"/>
      <c r="P20" s="3"/>
      <c r="Q20" s="3"/>
      <c r="R20" s="3" t="s">
        <v>29</v>
      </c>
      <c r="S20" s="6" t="s">
        <v>31</v>
      </c>
      <c r="T20" s="6" t="s">
        <v>30</v>
      </c>
      <c r="U20" s="19" t="s">
        <v>122</v>
      </c>
      <c r="V20" s="19" t="s">
        <v>121</v>
      </c>
      <c r="W20" s="6" t="s">
        <v>37</v>
      </c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</row>
    <row r="21" spans="1:60">
      <c r="A21" s="3"/>
      <c r="B21" s="3" t="s">
        <v>12</v>
      </c>
      <c r="C21" s="6">
        <f>(32.8367+0.01166*25)/18</f>
        <v>1.8404555555555555</v>
      </c>
      <c r="D21" s="6">
        <f>32.8367+0.01166*(L6-273)</f>
        <v>37.500700000000002</v>
      </c>
      <c r="E21" s="2">
        <f>D21/18</f>
        <v>2.0833722222222222</v>
      </c>
      <c r="F21" s="3"/>
      <c r="G21" s="3" t="s">
        <v>12</v>
      </c>
      <c r="H21" s="3">
        <v>-241.84</v>
      </c>
      <c r="I21" s="3">
        <v>-228.8</v>
      </c>
      <c r="J21" s="3">
        <v>188.74</v>
      </c>
      <c r="K21" s="3"/>
      <c r="L21" s="2">
        <f>H21+($L$6-298)*(C21*18+D21)/2000</f>
        <v>-228.59708125</v>
      </c>
      <c r="M21" s="2">
        <f>J21+(C21*18/2+D21/2)*LN($L$6/298)-8.31*LN($K$8)</f>
        <v>217.50898178195149</v>
      </c>
      <c r="N21" s="3"/>
      <c r="O21" s="3" t="s">
        <v>115</v>
      </c>
      <c r="P21" s="3"/>
      <c r="Q21" s="13" t="s">
        <v>147</v>
      </c>
      <c r="R21" s="3">
        <v>206</v>
      </c>
      <c r="S21" s="6">
        <f>(H25+3*H20)-(H27+H21)</f>
        <v>206.19</v>
      </c>
      <c r="T21" s="2">
        <f>(L25+3*L20)-(L27+L21)</f>
        <v>219.45550932234954</v>
      </c>
      <c r="U21" s="2">
        <f>(M25+3*M20)-(M27+M21)</f>
        <v>243.08805765235712</v>
      </c>
      <c r="V21" s="2">
        <f>T21-$L$6*U21/1000</f>
        <v>55.857246522313204</v>
      </c>
      <c r="W21" s="2">
        <f>EXP(-V21*1000/(8.314*L6))</f>
        <v>4.6185366588258128E-5</v>
      </c>
      <c r="X21" s="3" t="s">
        <v>123</v>
      </c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</row>
    <row r="22" spans="1:60">
      <c r="A22" s="3"/>
      <c r="B22" s="3" t="s">
        <v>4</v>
      </c>
      <c r="C22" s="3">
        <v>1.04</v>
      </c>
      <c r="D22" s="2">
        <f>4.17*(6.66+0.00102*L6)</f>
        <v>30.634738200000001</v>
      </c>
      <c r="E22" s="2">
        <f>D22/28</f>
        <v>1.0940977928571429</v>
      </c>
      <c r="F22" s="3"/>
      <c r="G22" s="3" t="s">
        <v>4</v>
      </c>
      <c r="H22" s="3">
        <v>0</v>
      </c>
      <c r="I22" s="3">
        <v>0</v>
      </c>
      <c r="J22" s="3">
        <v>191.5</v>
      </c>
      <c r="K22" s="3"/>
      <c r="L22" s="2">
        <f>H22+($L$6-298)*(C22*28+D22)/2000</f>
        <v>11.2040134125</v>
      </c>
      <c r="M22" s="2">
        <f>J22+(C22*28/2+D22/2)*LN($L$6/298)-8.31*LN($K$8)</f>
        <v>215.83965380546886</v>
      </c>
      <c r="N22" s="3"/>
      <c r="O22" s="3" t="s">
        <v>116</v>
      </c>
      <c r="P22" s="3"/>
      <c r="Q22" s="13" t="s">
        <v>148</v>
      </c>
      <c r="R22" s="3">
        <v>-41</v>
      </c>
      <c r="S22" s="6">
        <f>(H26+H20)-(H25+H21)</f>
        <v>-41.169999999999959</v>
      </c>
      <c r="T22" s="2">
        <f>(L26+L20)-(L25+L21)</f>
        <v>-38.195825511662179</v>
      </c>
      <c r="U22" s="2">
        <f>(M26+M20)-(M25+M21)</f>
        <v>-35.478888723353919</v>
      </c>
      <c r="V22" s="2">
        <f>T22-$L$6*U22/1000</f>
        <v>-14.318533400844991</v>
      </c>
      <c r="W22" s="2">
        <f>EXP(-V22*1000/(8.314*$L$6))</f>
        <v>12.92312909377744</v>
      </c>
      <c r="X22" s="3" t="s">
        <v>124</v>
      </c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</row>
    <row r="23" spans="1:60">
      <c r="A23" s="3"/>
      <c r="B23" s="3" t="s">
        <v>5</v>
      </c>
      <c r="C23" s="3">
        <v>0.92</v>
      </c>
      <c r="D23" s="2">
        <f>4.17*(7.16+0.001*L6-40000/L6^2)</f>
        <v>32.295340359504472</v>
      </c>
      <c r="E23" s="2">
        <f>D23/32</f>
        <v>1.0092293862345147</v>
      </c>
      <c r="F23" s="3"/>
      <c r="G23" s="3" t="s">
        <v>70</v>
      </c>
      <c r="H23" s="3">
        <v>0</v>
      </c>
      <c r="I23" s="3">
        <v>0</v>
      </c>
      <c r="J23" s="3">
        <v>205.03</v>
      </c>
      <c r="K23" s="3"/>
      <c r="L23" s="2">
        <f>H23+($L$6-298)*(C23*32+D23)/2000</f>
        <v>11.575376317407089</v>
      </c>
      <c r="M23" s="2">
        <f>J23+(C23*32/2+D23/2)*LN($L$6/298)-8.31*LN($K$8)</f>
        <v>230.17640440535189</v>
      </c>
      <c r="N23" s="3"/>
      <c r="O23" s="9" t="s">
        <v>117</v>
      </c>
      <c r="P23" s="9"/>
      <c r="Q23" s="24" t="s">
        <v>149</v>
      </c>
      <c r="R23" s="9">
        <v>165</v>
      </c>
      <c r="S23" s="14">
        <f>S21+S22</f>
        <v>165.02000000000004</v>
      </c>
      <c r="T23" s="10">
        <f>T21+T22</f>
        <v>181.25968381068736</v>
      </c>
      <c r="U23" s="17"/>
      <c r="V23" s="14">
        <f>V21+V22</f>
        <v>41.538713121468213</v>
      </c>
      <c r="W23" s="14">
        <f>W21*W22</f>
        <v>5.9685945466349515E-4</v>
      </c>
      <c r="X23" s="9" t="s">
        <v>152</v>
      </c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</row>
    <row r="24" spans="1:60">
      <c r="A24" s="3" t="s">
        <v>14</v>
      </c>
      <c r="B24" s="3" t="s">
        <v>108</v>
      </c>
      <c r="C24" s="3">
        <v>0.71009999999999995</v>
      </c>
      <c r="D24" s="2">
        <f>4.17*(4.01+0.00102*L6-200000/L6^2)</f>
        <v>17.742889997522351</v>
      </c>
      <c r="E24" s="2">
        <f>D24/12</f>
        <v>1.4785741664601959</v>
      </c>
      <c r="F24" s="3"/>
      <c r="G24" s="3" t="s">
        <v>20</v>
      </c>
      <c r="H24" s="3">
        <v>0</v>
      </c>
      <c r="I24" s="3">
        <v>0</v>
      </c>
      <c r="J24" s="3">
        <v>5.74</v>
      </c>
      <c r="K24" s="3"/>
      <c r="L24" s="2">
        <f>H24+($L$6-298)*(C24*12+D24)/2000</f>
        <v>4.9245168745354411</v>
      </c>
      <c r="M24" s="2">
        <f>J24+(C24*12/2+D24/2)*LN($L$6/298)-8.31*LN($K$8)</f>
        <v>16.438044662429323</v>
      </c>
      <c r="N24" s="3"/>
      <c r="O24" s="4" t="s">
        <v>32</v>
      </c>
      <c r="P24" s="3"/>
      <c r="Q24" s="13" t="s">
        <v>119</v>
      </c>
      <c r="R24" s="3"/>
      <c r="S24" s="6">
        <f>(H24+2*H20)-H27</f>
        <v>74.849999999999994</v>
      </c>
      <c r="T24" s="2">
        <f>(L24+2*L20)-L27</f>
        <v>84.701150770491012</v>
      </c>
      <c r="U24" s="2">
        <f>(M24+2*M20)-M27</f>
        <v>102.15068835259694</v>
      </c>
      <c r="V24" s="2">
        <f t="shared" ref="V24:V27" si="0">T24-$L$6*U24/1000</f>
        <v>15.953737509193274</v>
      </c>
      <c r="W24" s="7">
        <f t="shared" ref="W24:W27" si="1">EXP(-V24*1000/(8.314*$L$6))</f>
        <v>5.7771279490838899E-2</v>
      </c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</row>
    <row r="25" spans="1:60">
      <c r="A25" s="3"/>
      <c r="B25" s="3" t="s">
        <v>7</v>
      </c>
      <c r="C25" s="3">
        <v>0.93</v>
      </c>
      <c r="D25" s="2">
        <f>4.17*(6.79+0.00098*L6-1100/L6^2)</f>
        <v>31.05445438488637</v>
      </c>
      <c r="E25" s="2">
        <f>D25/28</f>
        <v>1.1090876566030847</v>
      </c>
      <c r="F25" s="3"/>
      <c r="G25" s="3" t="s">
        <v>21</v>
      </c>
      <c r="H25" s="3">
        <v>-110.5</v>
      </c>
      <c r="I25" s="3">
        <v>-137.27000000000001</v>
      </c>
      <c r="J25" s="3">
        <v>197.4</v>
      </c>
      <c r="K25" s="3"/>
      <c r="L25" s="2">
        <f>H25+($L$6-298)*(C25*28+D25)/2000</f>
        <v>-99.794789802833805</v>
      </c>
      <c r="M25" s="2">
        <f>J25+(C25*28/2+D25/2)*LN($L$6/298)-8.31*LN($K$8)</f>
        <v>220.65605124884087</v>
      </c>
      <c r="N25" s="3"/>
      <c r="O25" s="4" t="s">
        <v>33</v>
      </c>
      <c r="P25" s="3"/>
      <c r="Q25" s="3" t="s">
        <v>38</v>
      </c>
      <c r="R25" s="3"/>
      <c r="S25" s="6">
        <f>(H26+H24)-2*H25</f>
        <v>-172.51</v>
      </c>
      <c r="T25" s="2">
        <f>(L26+L24)-2*L25</f>
        <v>-172.95018406352079</v>
      </c>
      <c r="U25" s="2">
        <f>(M26+M24)-2*M25</f>
        <v>-176.4162580231141</v>
      </c>
      <c r="V25" s="2">
        <f t="shared" si="0"/>
        <v>-54.222042413964999</v>
      </c>
      <c r="W25" s="7">
        <f t="shared" si="1"/>
        <v>16164.983801657787</v>
      </c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</row>
    <row r="26" spans="1:60">
      <c r="A26" s="3"/>
      <c r="B26" s="3" t="s">
        <v>6</v>
      </c>
      <c r="C26" s="3">
        <v>0.85</v>
      </c>
      <c r="D26" s="2">
        <f>4.17*(10.55+0.00216*L6-204000/L6^2)</f>
        <v>48.177170433472803</v>
      </c>
      <c r="E26" s="2">
        <f>D26/44</f>
        <v>1.0949356916698365</v>
      </c>
      <c r="F26" s="3"/>
      <c r="G26" s="3" t="s">
        <v>22</v>
      </c>
      <c r="H26" s="3">
        <v>-393.51</v>
      </c>
      <c r="I26" s="3">
        <v>-394.38</v>
      </c>
      <c r="J26" s="3">
        <v>213.6</v>
      </c>
      <c r="K26" s="3"/>
      <c r="L26" s="2">
        <f>H26+($L$6-298)*(C26*44+D26)/2000</f>
        <v>-377.46428054372382</v>
      </c>
      <c r="M26" s="2">
        <f>J26+(C26*44/2+D26/2)*LN($L$6/298)-8.31*LN($K$8)</f>
        <v>248.45779981213832</v>
      </c>
      <c r="N26" s="3"/>
      <c r="O26" s="25" t="s">
        <v>118</v>
      </c>
      <c r="P26" s="9"/>
      <c r="Q26" s="24" t="s">
        <v>120</v>
      </c>
      <c r="R26" s="9"/>
      <c r="S26" s="14">
        <f>(H21+H24)-(H25+H20)</f>
        <v>-131.34</v>
      </c>
      <c r="T26" s="10">
        <f>(L24+L21)-(L25+L20)</f>
        <v>-134.75435855185856</v>
      </c>
      <c r="U26" s="10">
        <f>(M24+M21)-(M25+M20)</f>
        <v>-140.93736929976018</v>
      </c>
      <c r="V26" s="10">
        <f t="shared" si="0"/>
        <v>-39.903509013119958</v>
      </c>
      <c r="W26" s="16">
        <f t="shared" si="1"/>
        <v>1250.8567920629353</v>
      </c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</row>
    <row r="27" spans="1:60">
      <c r="A27" s="3" t="s">
        <v>9</v>
      </c>
      <c r="B27" s="3" t="s">
        <v>24</v>
      </c>
      <c r="C27" s="3">
        <v>2.2000000000000002</v>
      </c>
      <c r="D27" s="2">
        <f>4.17*(5.34+0.0115*L6)</f>
        <v>54.541514999999997</v>
      </c>
      <c r="E27" s="2">
        <f>D27/16</f>
        <v>3.4088446874999998</v>
      </c>
      <c r="F27" s="3"/>
      <c r="G27" s="3" t="s">
        <v>24</v>
      </c>
      <c r="H27" s="3">
        <v>-74.849999999999994</v>
      </c>
      <c r="I27" s="3">
        <v>-50.79</v>
      </c>
      <c r="J27" s="3">
        <v>186.19</v>
      </c>
      <c r="K27" s="3">
        <v>890.4</v>
      </c>
      <c r="L27" s="2">
        <f>H27+($L$6-298)*(C27*16+D27)/2000</f>
        <v>-58.023465937499992</v>
      </c>
      <c r="M27" s="2">
        <f>J27+(C27*16/2+D27/2)*LN($L$6/298)-8.31*LN($K$8)</f>
        <v>222.74404530043262</v>
      </c>
      <c r="N27" s="3"/>
      <c r="O27" s="3" t="s">
        <v>36</v>
      </c>
      <c r="P27" s="3"/>
      <c r="Q27" s="13" t="s">
        <v>102</v>
      </c>
      <c r="R27" s="3"/>
      <c r="S27" s="6">
        <f>(H25+2*H20)-(H27+0.5*H23)</f>
        <v>-35.650000000000006</v>
      </c>
      <c r="T27" s="2">
        <f>(L25+2*L20)-(L27+0.5*L23)</f>
        <v>-25.80584406558178</v>
      </c>
      <c r="U27" s="2">
        <f>(M25+2*M20)-(M27+0.5*M23)</f>
        <v>191.28049273633258</v>
      </c>
      <c r="V27" s="2">
        <f t="shared" si="0"/>
        <v>-154.5376156771336</v>
      </c>
      <c r="W27" s="2">
        <f t="shared" si="1"/>
        <v>988124551209.99573</v>
      </c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</row>
    <row r="28" spans="1:60">
      <c r="A28" s="3" t="s">
        <v>107</v>
      </c>
      <c r="B28" s="3" t="s">
        <v>25</v>
      </c>
      <c r="C28" s="6">
        <f>52.64/30</f>
        <v>1.7546666666666666</v>
      </c>
      <c r="D28" s="6">
        <f>5.75+175.11*L6/1000-57.85*L6^2/1000000</f>
        <v>97.397087350000007</v>
      </c>
      <c r="E28" s="6">
        <f>D28/30</f>
        <v>3.2465695783333337</v>
      </c>
      <c r="F28" s="3"/>
      <c r="G28" s="3" t="s">
        <v>25</v>
      </c>
      <c r="H28" s="3">
        <v>-84.67</v>
      </c>
      <c r="I28" s="3">
        <v>-32.89</v>
      </c>
      <c r="J28" s="3">
        <v>229.5</v>
      </c>
      <c r="K28" s="3">
        <v>1560</v>
      </c>
      <c r="L28" s="2">
        <f>H28+($L$6-298)*(C28*30+D28)/2000</f>
        <v>-56.538046121874999</v>
      </c>
      <c r="M28" s="2">
        <f>J28+(C28*30/2+D28/2)*LN($L$6/298)-8.31*LN($K$8)</f>
        <v>290.61399487446658</v>
      </c>
      <c r="N28" s="3"/>
      <c r="O28" s="3" t="s">
        <v>35</v>
      </c>
      <c r="P28" s="3"/>
      <c r="Q28" s="13" t="s">
        <v>103</v>
      </c>
      <c r="R28" s="3"/>
      <c r="S28" s="6">
        <f>H26-(H25+0.5*H23)</f>
        <v>-283.01</v>
      </c>
      <c r="T28" s="2">
        <f>L26-(L25+0.5*L23)</f>
        <v>-283.45717889959354</v>
      </c>
      <c r="U28" s="2">
        <f>M26-(M25+0.5*M23)</f>
        <v>-87.286453639378465</v>
      </c>
      <c r="V28" s="2">
        <f>T28-$L$6*U28/1000</f>
        <v>-224.71339560029185</v>
      </c>
      <c r="W28" s="2">
        <f>EXP(-V28*1000/(8.314*$L$6))</f>
        <v>2.7648716637585907E+17</v>
      </c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</row>
    <row r="29" spans="1:60">
      <c r="A29" s="3" t="s">
        <v>10</v>
      </c>
      <c r="B29" s="3" t="s">
        <v>26</v>
      </c>
      <c r="C29" s="3">
        <v>1.67</v>
      </c>
      <c r="D29" s="6">
        <f>1.72+270.75*L6/1000-4.48*L6^2/1000000</f>
        <v>181.90562808000001</v>
      </c>
      <c r="E29" s="6">
        <f>D29/44</f>
        <v>4.1342188200000001</v>
      </c>
      <c r="F29" s="3"/>
      <c r="G29" s="3" t="s">
        <v>26</v>
      </c>
      <c r="H29" s="3">
        <v>-103.9</v>
      </c>
      <c r="I29" s="3">
        <v>-23.53</v>
      </c>
      <c r="J29" s="3">
        <v>269.89999999999998</v>
      </c>
      <c r="K29" s="3">
        <v>2218</v>
      </c>
      <c r="L29" s="2">
        <f>H29+($L$6-298)*(C29*44+D29)/2000</f>
        <v>-56.015194735000001</v>
      </c>
      <c r="M29" s="2">
        <f>J29+(C29*44/2+D29/2)*LN($L$6/298)-8.31*LN($K$8)</f>
        <v>373.9251863133328</v>
      </c>
      <c r="N29" s="3"/>
      <c r="O29" s="9" t="s">
        <v>114</v>
      </c>
      <c r="P29" s="9"/>
      <c r="Q29" s="9" t="s">
        <v>113</v>
      </c>
      <c r="R29" s="9"/>
      <c r="S29" s="14">
        <f>H21-(H20+0.5*H23)</f>
        <v>-241.84</v>
      </c>
      <c r="T29" s="10">
        <f>L21-(L20+0.5*L23)</f>
        <v>-245.26135338793134</v>
      </c>
      <c r="U29" s="10">
        <f>M21-(M20+0.5*M23)</f>
        <v>-51.807564916024546</v>
      </c>
      <c r="V29" s="10">
        <f>T29-$L$6*U29/1000</f>
        <v>-210.39486219944681</v>
      </c>
      <c r="W29" s="10">
        <f>EXP(-V29*1000/(8.314*$L$6))</f>
        <v>2.13947538842575E+16</v>
      </c>
      <c r="X29" s="9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</row>
    <row r="30" spans="1:60">
      <c r="A30" s="3" t="s">
        <v>136</v>
      </c>
      <c r="B30" s="3" t="s">
        <v>137</v>
      </c>
      <c r="C30" s="3"/>
      <c r="D30" t="s">
        <v>138</v>
      </c>
      <c r="N30" s="3"/>
      <c r="O30" s="70" t="s">
        <v>34</v>
      </c>
      <c r="P30" s="70"/>
      <c r="Q30" s="70" t="s">
        <v>39</v>
      </c>
      <c r="R30" s="70"/>
      <c r="S30" s="71">
        <f>(2*H25+2*H20)-(H27+H26)</f>
        <v>247.36</v>
      </c>
      <c r="T30" s="72">
        <f>(2*L25+2*L20)-(L27+L26)</f>
        <v>257.65133483401178</v>
      </c>
      <c r="U30" s="72">
        <f>(2*M25+2*M20)-(M27+M26)</f>
        <v>278.56694637571104</v>
      </c>
      <c r="V30" s="72">
        <f>T30-$L$6*U30/1000</f>
        <v>70.175779923158245</v>
      </c>
      <c r="W30" s="72">
        <f>EXP(-V30*1000/(8.314*$L$6))</f>
        <v>3.57385322495124E-6</v>
      </c>
      <c r="X30" s="70" t="s">
        <v>125</v>
      </c>
      <c r="Y30" s="3"/>
      <c r="Z30" s="3" t="s">
        <v>153</v>
      </c>
      <c r="AA30" s="3"/>
      <c r="AB30" s="3"/>
      <c r="AC30" s="3"/>
      <c r="AD30" s="3"/>
      <c r="AE30" s="3"/>
      <c r="AF30" s="3"/>
      <c r="AG30" s="3"/>
      <c r="AH30" s="3"/>
      <c r="AI30" s="3"/>
    </row>
    <row r="31" spans="1:60">
      <c r="A31" s="3" t="s">
        <v>11</v>
      </c>
      <c r="B31" s="3" t="s">
        <v>91</v>
      </c>
      <c r="C31" s="3">
        <v>2.2000000000000002</v>
      </c>
      <c r="D31" s="2">
        <f>4.17*(5.34+0.0115*L6)</f>
        <v>54.541514999999997</v>
      </c>
      <c r="E31" s="2">
        <f>D31/16</f>
        <v>3.4088446874999998</v>
      </c>
      <c r="F31" s="3"/>
      <c r="G31" s="3" t="s">
        <v>109</v>
      </c>
      <c r="H31" s="13">
        <v>-74.849999999999994</v>
      </c>
      <c r="I31" s="13">
        <v>-50.79</v>
      </c>
      <c r="J31" s="13">
        <v>186.19</v>
      </c>
      <c r="K31" s="13">
        <v>890.4</v>
      </c>
      <c r="L31" s="2">
        <f>H31+($L$6-298)*(C31*16+D31)/2000</f>
        <v>-58.023465937499992</v>
      </c>
      <c r="M31" s="2">
        <f>J31+(C31*16/2+D31/2)*LN($L$6/298)-8.31*LN($K$8)</f>
        <v>222.74404530043262</v>
      </c>
      <c r="N31" s="3"/>
      <c r="O31" s="3" t="s">
        <v>139</v>
      </c>
      <c r="P31" s="3"/>
      <c r="Q31" s="3" t="s">
        <v>150</v>
      </c>
      <c r="R31" s="3"/>
      <c r="S31" s="6">
        <f>(3*H25+7*H20)-(H29+3*H21)</f>
        <v>497.91999999999996</v>
      </c>
      <c r="T31" s="2">
        <f>(3*L25+7*L20)-(L29+3*L21)</f>
        <v>518.55815693109321</v>
      </c>
      <c r="U31" s="2">
        <f>(3*M25+7*M20)-(M29+3*M21)</f>
        <v>715.11443355443635</v>
      </c>
      <c r="V31" s="73">
        <f>T31-$L$6*U31/1000</f>
        <v>37.286143148957535</v>
      </c>
      <c r="W31" s="53">
        <f>EXP(-V31*1000/(8.314*$L$6))</f>
        <v>1.2762789483501786E-3</v>
      </c>
      <c r="X31" s="3"/>
      <c r="Y31" s="3"/>
      <c r="Z31" s="3">
        <f>W31^0.33333</f>
        <v>0.10847379859419036</v>
      </c>
      <c r="AA31" s="3"/>
      <c r="AB31" s="3"/>
      <c r="AC31" s="3"/>
      <c r="AD31" s="3"/>
      <c r="AE31" s="3"/>
      <c r="AF31" s="3"/>
      <c r="AG31" s="3"/>
      <c r="AH31" s="3"/>
      <c r="AI31" s="3"/>
    </row>
    <row r="32" spans="1:60">
      <c r="A32" s="3"/>
      <c r="B32" s="3"/>
      <c r="C32" s="3"/>
      <c r="D32" s="3"/>
      <c r="E32" s="3"/>
      <c r="F32" s="3"/>
      <c r="G32" s="3" t="s">
        <v>23</v>
      </c>
      <c r="H32" s="3">
        <v>-285.83999999999997</v>
      </c>
      <c r="I32" s="3">
        <v>-237.5</v>
      </c>
      <c r="J32" s="3">
        <v>69.959999999999994</v>
      </c>
      <c r="K32" s="3"/>
      <c r="L32" s="3"/>
      <c r="M32" s="3"/>
      <c r="N32" s="3"/>
      <c r="O32" s="3" t="s">
        <v>140</v>
      </c>
      <c r="P32" s="3"/>
      <c r="Q32" s="3" t="s">
        <v>151</v>
      </c>
      <c r="R32" s="3"/>
      <c r="S32" s="6">
        <f>(3*H26+10*H20)-(H29+6*H21)</f>
        <v>374.41000000000008</v>
      </c>
      <c r="T32" s="2">
        <f>(3*L26+10*L20)-(L29+6*L21)</f>
        <v>403.97068039610656</v>
      </c>
      <c r="U32" s="2">
        <f>(3*M26+10*M20)-(M29+6*M21)</f>
        <v>608.67776738437442</v>
      </c>
      <c r="V32" s="2">
        <f>T32-$L$6*U32/1000</f>
        <v>-5.6694570535773892</v>
      </c>
      <c r="W32" s="2">
        <f>EXP(-V32*1000/(8.314*$L$6))</f>
        <v>2.754537275616268</v>
      </c>
      <c r="X32" s="3" t="s">
        <v>141</v>
      </c>
      <c r="Y32" s="3"/>
      <c r="Z32" s="3">
        <f>W32^0.33333</f>
        <v>1.4017850301256636</v>
      </c>
      <c r="AA32" s="3"/>
      <c r="AB32" s="3"/>
      <c r="AC32" s="3"/>
      <c r="AD32" s="3"/>
      <c r="AE32" s="3"/>
      <c r="AF32" s="3"/>
      <c r="AG32" s="3"/>
      <c r="AH32" s="3"/>
      <c r="AI32" s="3"/>
    </row>
    <row r="33" spans="1:3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</row>
    <row r="34" spans="1:3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</row>
    <row r="35" spans="1:35" ht="18">
      <c r="A35" s="3"/>
      <c r="B35" s="3"/>
      <c r="C35" s="3"/>
      <c r="D35" s="12" t="s">
        <v>126</v>
      </c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</row>
    <row r="36" spans="1:35" ht="18">
      <c r="A36" s="3"/>
      <c r="B36" s="3"/>
      <c r="C36" s="3"/>
      <c r="D36" s="63" t="s">
        <v>127</v>
      </c>
      <c r="E36" s="3"/>
      <c r="F36" s="62">
        <v>8</v>
      </c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</row>
    <row r="37" spans="1:3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</row>
    <row r="38" spans="1:35">
      <c r="A38" s="32"/>
      <c r="B38" s="29" t="s">
        <v>110</v>
      </c>
      <c r="C38" s="30"/>
      <c r="D38" s="30"/>
      <c r="E38" s="31"/>
      <c r="F38" s="29"/>
      <c r="G38" s="30"/>
      <c r="H38" s="30"/>
      <c r="I38" s="30"/>
      <c r="J38" s="30"/>
      <c r="K38" s="30"/>
      <c r="L38" s="30"/>
      <c r="M38" s="30"/>
      <c r="N38" s="30"/>
      <c r="O38" s="31"/>
      <c r="P38" s="3"/>
      <c r="Q38" s="3"/>
      <c r="R38" s="3"/>
      <c r="S38" s="3"/>
      <c r="T38" s="3"/>
      <c r="U38" s="3"/>
      <c r="V38" s="3"/>
      <c r="W38" s="13"/>
      <c r="X38" s="13"/>
      <c r="Y38" s="13"/>
      <c r="Z38" s="13"/>
      <c r="AA38" s="13"/>
      <c r="AB38" s="3"/>
      <c r="AC38" s="3"/>
      <c r="AD38" s="3"/>
      <c r="AE38" s="3"/>
      <c r="AF38" s="3"/>
      <c r="AG38" s="3"/>
      <c r="AH38" s="3"/>
      <c r="AI38" s="3"/>
    </row>
    <row r="39" spans="1:35">
      <c r="A39" s="33" t="s">
        <v>92</v>
      </c>
      <c r="B39" s="26" t="s">
        <v>52</v>
      </c>
      <c r="C39" s="9" t="s">
        <v>79</v>
      </c>
      <c r="D39" s="9" t="s">
        <v>80</v>
      </c>
      <c r="E39" s="9" t="s">
        <v>77</v>
      </c>
      <c r="F39" s="26" t="s">
        <v>40</v>
      </c>
      <c r="G39" s="9" t="s">
        <v>41</v>
      </c>
      <c r="H39" s="9" t="s">
        <v>42</v>
      </c>
      <c r="I39" s="9" t="s">
        <v>45</v>
      </c>
      <c r="J39" s="9" t="s">
        <v>44</v>
      </c>
      <c r="K39" s="9" t="s">
        <v>43</v>
      </c>
      <c r="L39" s="9" t="s">
        <v>46</v>
      </c>
      <c r="M39" s="3" t="s">
        <v>143</v>
      </c>
      <c r="N39" s="9" t="s">
        <v>47</v>
      </c>
      <c r="O39" s="34" t="s">
        <v>82</v>
      </c>
      <c r="P39" s="3"/>
      <c r="Q39" s="3"/>
      <c r="R39" s="3"/>
      <c r="S39" s="3"/>
      <c r="T39" s="3"/>
      <c r="U39" s="3"/>
      <c r="V39" s="4"/>
      <c r="W39" s="13"/>
      <c r="X39" s="3"/>
      <c r="Y39" s="13"/>
      <c r="Z39" s="3"/>
      <c r="AA39" s="3"/>
      <c r="AB39" s="3"/>
      <c r="AC39" s="3"/>
      <c r="AD39" s="3"/>
      <c r="AE39" s="3"/>
      <c r="AF39" s="3"/>
      <c r="AG39" s="3"/>
      <c r="AH39" s="3"/>
      <c r="AI39" s="3"/>
    </row>
    <row r="40" spans="1:35">
      <c r="A40" s="4">
        <v>0</v>
      </c>
      <c r="B40" s="3"/>
      <c r="C40" s="3"/>
      <c r="D40" s="3"/>
      <c r="E40" s="3"/>
      <c r="F40" s="27">
        <f>C6</f>
        <v>0</v>
      </c>
      <c r="G40" s="14">
        <f>C13</f>
        <v>0</v>
      </c>
      <c r="H40" s="14">
        <f>C8</f>
        <v>0.9</v>
      </c>
      <c r="I40" s="14">
        <f>C11</f>
        <v>0</v>
      </c>
      <c r="J40" s="76">
        <v>0</v>
      </c>
      <c r="K40" s="14">
        <f>C9</f>
        <v>0</v>
      </c>
      <c r="L40" s="77">
        <f>C12</f>
        <v>0</v>
      </c>
      <c r="M40" s="75">
        <f>C7</f>
        <v>0.1</v>
      </c>
      <c r="N40" s="14">
        <v>0</v>
      </c>
      <c r="O40" s="16">
        <f t="shared" ref="O40:O80" si="2">SUM(F40:M40)</f>
        <v>1</v>
      </c>
      <c r="P40" s="3"/>
      <c r="Q40" s="3"/>
      <c r="R40" s="3"/>
      <c r="S40" s="3"/>
      <c r="T40" s="3"/>
      <c r="U40" s="3"/>
      <c r="V40" s="4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</row>
    <row r="41" spans="1:35">
      <c r="A41" s="3">
        <v>1</v>
      </c>
      <c r="B41" s="11">
        <f>1+0.25*$W$24</f>
        <v>1.0144428198727098</v>
      </c>
      <c r="C41" s="11">
        <f>0.5*$W$24*($G$6+$G$8)</f>
        <v>8.6656919236258331E-2</v>
      </c>
      <c r="D41" s="11">
        <f>-$W$24-$W$24*($G$6+$G$8)</f>
        <v>-0.23108511796335557</v>
      </c>
      <c r="E41" s="11">
        <f>C41^2-4*B41*D41</f>
        <v>0.9451999764409762</v>
      </c>
      <c r="F41" s="60">
        <f t="shared" ref="F41:F80" si="3">IF($G$7&gt;1,0,G41^2/($W$24*O40))</f>
        <v>12.506214270614706</v>
      </c>
      <c r="G41" s="59">
        <f>IF(G7&gt;1,IF(G7&gt;2,0,F40+3*M40-I40),4*M40+2*F40*K6/800+C8/2)</f>
        <v>0.85000000000000009</v>
      </c>
      <c r="H41" s="60">
        <f>IF((4*M40+2*F40+H40+G40-2*F41-G41)&lt;0,0.2,(4*M40+2*F40+H40+G40-2*F41-G41))</f>
        <v>0.2</v>
      </c>
      <c r="I41" s="6">
        <f t="shared" ref="I41:I80" si="4">($H$40+2*$I$40+2*$K$40+$J$40-H41-2*K41-J41)/2</f>
        <v>0.34933396499200969</v>
      </c>
      <c r="J41" s="61">
        <f>H41/($W$26*G41)</f>
        <v>1.8810635968887182E-4</v>
      </c>
      <c r="K41" s="56">
        <f>$W$25*J41^2/O40</f>
        <v>5.7198182814584611E-4</v>
      </c>
      <c r="L41" s="2">
        <f t="shared" ref="L41:L90" si="5">L40</f>
        <v>0</v>
      </c>
      <c r="M41" s="75">
        <f>IF(M40=0,0,(J41^3*G41^7)/($W$31*H41^3*O40^6))</f>
        <v>2.089812506044684E-7</v>
      </c>
      <c r="N41" s="61">
        <f t="shared" ref="N41:N46" si="6">$F$40+3*$M$40+$K$40+$J$40-F41-3*M41-J41-K41</f>
        <v>-12.206974985746292</v>
      </c>
      <c r="O41" s="60">
        <f>SUM(F41:M41)</f>
        <v>13.9063085327758</v>
      </c>
      <c r="P41" s="20"/>
      <c r="Q41" s="20"/>
      <c r="R41" s="20"/>
      <c r="S41" s="20"/>
      <c r="T41" s="20"/>
      <c r="U41" s="20"/>
      <c r="V41" s="4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</row>
    <row r="42" spans="1:35">
      <c r="A42" s="3">
        <v>2</v>
      </c>
      <c r="B42" s="3"/>
      <c r="C42" s="3"/>
      <c r="D42" s="3"/>
      <c r="E42" s="3"/>
      <c r="F42" s="61">
        <f t="shared" si="3"/>
        <v>0.80929208955198995</v>
      </c>
      <c r="G42" s="59">
        <f t="shared" ref="G42:G80" si="7">IF($G$7&gt;1,IF($G$7&gt;2,0,2-2*$G$7),G41-I41/$F$36)</f>
        <v>0.8063332543759989</v>
      </c>
      <c r="H42" s="60">
        <f t="shared" ref="H42:H80" si="8">4*$M$40+2*$F$40+$H$40+$G$40-2*F42-G42-4*M41</f>
        <v>-1.1249182694049811</v>
      </c>
      <c r="I42" s="2">
        <f t="shared" si="4"/>
        <v>0.99290860802606418</v>
      </c>
      <c r="J42" s="8">
        <f>H42/($W$26*G42)</f>
        <v>-1.1153182479970831E-3</v>
      </c>
      <c r="K42" s="78">
        <f t="shared" ref="K42:K80" si="9">$W$22*J42*H42/G42</f>
        <v>2.0108185800424869E-2</v>
      </c>
      <c r="L42" s="2">
        <f t="shared" si="5"/>
        <v>0</v>
      </c>
      <c r="M42" s="2">
        <f>IF(M41=0,0,(J42^3*G42^7)/($W$31*H42^3*O41^6))</f>
        <v>2.340015539809812E-14</v>
      </c>
      <c r="N42" s="8">
        <f>$F$40+3*$M$40+$K$40+$J$40-F42-3*M42-J42-K42</f>
        <v>-0.52828495710448786</v>
      </c>
      <c r="O42" s="8">
        <f t="shared" si="2"/>
        <v>1.5026085501015229</v>
      </c>
      <c r="P42" s="20"/>
      <c r="Q42" s="35"/>
      <c r="R42" s="36"/>
      <c r="S42" s="35"/>
      <c r="T42" s="35"/>
      <c r="U42" s="20"/>
      <c r="V42" s="4"/>
      <c r="W42" s="3"/>
      <c r="X42" s="3"/>
      <c r="Y42" s="3"/>
      <c r="Z42" s="3"/>
      <c r="AA42" s="13"/>
      <c r="AB42" s="3"/>
      <c r="AC42" s="3"/>
      <c r="AD42" s="3"/>
      <c r="AE42" s="3"/>
      <c r="AF42" s="3"/>
      <c r="AG42" s="3"/>
      <c r="AH42" s="3"/>
      <c r="AI42" s="3"/>
    </row>
    <row r="43" spans="1:35">
      <c r="A43" s="3">
        <v>3</v>
      </c>
      <c r="B43" s="3"/>
      <c r="C43" s="3"/>
      <c r="D43" s="3"/>
      <c r="E43" s="3"/>
      <c r="F43" s="8">
        <f t="shared" si="3"/>
        <v>5.3615534849400674</v>
      </c>
      <c r="G43" s="7">
        <f t="shared" si="7"/>
        <v>0.68221967837274089</v>
      </c>
      <c r="H43" s="8">
        <f t="shared" si="8"/>
        <v>-10.105326648252969</v>
      </c>
      <c r="I43" s="2">
        <f t="shared" si="4"/>
        <v>3.2417888505087498</v>
      </c>
      <c r="J43" s="8">
        <f t="shared" ref="J43:J45" si="10">H43/($W$26*G43)</f>
        <v>-1.1841821843466056E-2</v>
      </c>
      <c r="K43" s="78">
        <f t="shared" si="9"/>
        <v>2.2667953845394679</v>
      </c>
      <c r="L43" s="2">
        <f t="shared" si="5"/>
        <v>0</v>
      </c>
      <c r="M43" s="2">
        <f t="shared" ref="M43:M80" si="11">IF(M42=0,0,(J43^3*G43^7)/($W$31*H43^3*O42^6))</f>
        <v>7.5344829748064541E-9</v>
      </c>
      <c r="N43" s="8">
        <f t="shared" si="6"/>
        <v>-7.3165070702395187</v>
      </c>
      <c r="O43" s="8">
        <f t="shared" si="2"/>
        <v>1.4351889357990737</v>
      </c>
      <c r="P43" s="20"/>
      <c r="Q43" s="35"/>
      <c r="R43" s="36"/>
      <c r="S43" s="35"/>
      <c r="T43" s="35"/>
      <c r="U43" s="20"/>
      <c r="V43" s="4"/>
      <c r="W43" s="3"/>
      <c r="X43" s="3"/>
      <c r="Y43" s="3"/>
      <c r="Z43" s="3"/>
      <c r="AA43" s="3"/>
      <c r="AB43" s="3"/>
      <c r="AC43" s="3"/>
      <c r="AD43" s="3"/>
      <c r="AE43" s="4"/>
      <c r="AF43" s="3"/>
      <c r="AG43" s="3"/>
      <c r="AH43" s="3"/>
      <c r="AI43" s="3"/>
    </row>
    <row r="44" spans="1:35">
      <c r="A44" s="3">
        <v>4</v>
      </c>
      <c r="B44" s="3"/>
      <c r="C44" s="3"/>
      <c r="D44" s="3"/>
      <c r="E44" s="3"/>
      <c r="F44" s="8">
        <f t="shared" si="3"/>
        <v>0.92539288780197826</v>
      </c>
      <c r="G44" s="7">
        <f t="shared" si="7"/>
        <v>0.27699607205914717</v>
      </c>
      <c r="H44" s="8">
        <f>4*$M$40+2*$F$40+$H$40+$G$40-2*F44-G44-4*M43</f>
        <v>-0.82778187780103551</v>
      </c>
      <c r="I44" s="2">
        <f t="shared" si="4"/>
        <v>0.77281885131521089</v>
      </c>
      <c r="J44" s="8">
        <f t="shared" si="10"/>
        <v>-2.3891021146659778E-3</v>
      </c>
      <c r="K44" s="78">
        <f t="shared" si="9"/>
        <v>9.2266638642639953E-2</v>
      </c>
      <c r="L44" s="2">
        <f t="shared" si="5"/>
        <v>0</v>
      </c>
      <c r="M44" s="2">
        <f t="shared" si="11"/>
        <v>2.6969419429998915E-10</v>
      </c>
      <c r="N44" s="8">
        <f t="shared" si="6"/>
        <v>-0.71527042513903472</v>
      </c>
      <c r="O44" s="8">
        <f t="shared" si="2"/>
        <v>1.237303470172969</v>
      </c>
      <c r="P44" s="20"/>
      <c r="Q44" s="35"/>
      <c r="R44" s="36"/>
      <c r="S44" s="35"/>
      <c r="T44" s="35"/>
      <c r="U44" s="20"/>
      <c r="V44" s="4"/>
      <c r="W44" s="3"/>
      <c r="X44" s="3"/>
      <c r="Y44" s="3"/>
      <c r="Z44" s="3"/>
      <c r="AA44" s="3"/>
      <c r="AB44" s="3"/>
      <c r="AC44" s="3"/>
      <c r="AD44" s="3"/>
      <c r="AE44" s="4"/>
      <c r="AF44" s="3"/>
      <c r="AG44" s="3"/>
      <c r="AH44" s="3"/>
      <c r="AI44" s="3"/>
    </row>
    <row r="45" spans="1:35">
      <c r="A45" s="3">
        <v>5</v>
      </c>
      <c r="B45" s="11">
        <f t="shared" ref="B45:B80" si="12">$W$25/O44</f>
        <v>13064.688002045286</v>
      </c>
      <c r="C45" s="11">
        <v>1</v>
      </c>
      <c r="D45" s="11">
        <f>F45-1-$G$8</f>
        <v>-0.5447451398793598</v>
      </c>
      <c r="E45" s="11">
        <f>C45^2-4*B45*D45</f>
        <v>28468.701172617413</v>
      </c>
      <c r="F45" s="8">
        <f t="shared" si="3"/>
        <v>0.4552548601206402</v>
      </c>
      <c r="G45" s="7">
        <f t="shared" si="7"/>
        <v>0.18039371564474582</v>
      </c>
      <c r="H45" s="8">
        <f t="shared" si="8"/>
        <v>0.20909656303519703</v>
      </c>
      <c r="I45" s="2">
        <f t="shared" si="4"/>
        <v>0.33110770062492334</v>
      </c>
      <c r="J45" s="8">
        <f t="shared" si="10"/>
        <v>9.266546282422712E-4</v>
      </c>
      <c r="K45" s="78">
        <f t="shared" si="9"/>
        <v>1.3880690543357048E-2</v>
      </c>
      <c r="L45" s="2">
        <f t="shared" si="5"/>
        <v>0</v>
      </c>
      <c r="M45" s="2">
        <f t="shared" si="11"/>
        <v>1.1815710758852404E-10</v>
      </c>
      <c r="N45" s="8">
        <f t="shared" si="6"/>
        <v>-0.17006220564671079</v>
      </c>
      <c r="O45" s="8">
        <f t="shared" si="2"/>
        <v>1.1906601847152627</v>
      </c>
      <c r="P45" s="20"/>
      <c r="Q45" s="35"/>
      <c r="R45" s="36"/>
      <c r="S45" s="35"/>
      <c r="T45" s="35"/>
      <c r="U45" s="20"/>
      <c r="V45" s="4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</row>
    <row r="46" spans="1:35">
      <c r="A46" s="3">
        <v>6</v>
      </c>
      <c r="B46" s="11">
        <f t="shared" si="12"/>
        <v>13576.488077094406</v>
      </c>
      <c r="C46" s="11">
        <v>1</v>
      </c>
      <c r="D46" s="11">
        <f t="shared" ref="D46:D55" si="13">F46-1-$G$8</f>
        <v>-0.71909296997121075</v>
      </c>
      <c r="E46" s="11">
        <f t="shared" ref="E46:E55" si="14">C46^2-4*B46*D46</f>
        <v>39052.028532546195</v>
      </c>
      <c r="F46" s="8">
        <f t="shared" si="3"/>
        <v>0.28090703002878931</v>
      </c>
      <c r="G46" s="7">
        <f t="shared" si="7"/>
        <v>0.13900525306663042</v>
      </c>
      <c r="H46" s="8">
        <f t="shared" si="8"/>
        <v>0.59918068640316258</v>
      </c>
      <c r="I46" s="2">
        <f t="shared" si="4"/>
        <v>-4.3274479436568675E-2</v>
      </c>
      <c r="J46" s="8">
        <f>H46/($W$26*G46)</f>
        <v>3.4460295904061829E-3</v>
      </c>
      <c r="K46" s="78">
        <f t="shared" si="9"/>
        <v>0.1919611214397843</v>
      </c>
      <c r="L46" s="2">
        <f t="shared" si="5"/>
        <v>0</v>
      </c>
      <c r="M46" s="2">
        <f t="shared" si="11"/>
        <v>5.2460144757929153E-11</v>
      </c>
      <c r="N46" s="8">
        <f t="shared" si="6"/>
        <v>-0.17631418121636019</v>
      </c>
      <c r="O46" s="8">
        <f t="shared" si="2"/>
        <v>1.1712256411446642</v>
      </c>
      <c r="P46" s="20"/>
      <c r="Q46" s="35"/>
      <c r="R46" s="36"/>
      <c r="S46" s="35"/>
      <c r="T46" s="35"/>
      <c r="U46" s="20"/>
      <c r="V46" s="4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</row>
    <row r="47" spans="1:35">
      <c r="A47" s="3">
        <v>7</v>
      </c>
      <c r="B47" s="11">
        <f t="shared" si="12"/>
        <v>13801.76733994604</v>
      </c>
      <c r="C47" s="11">
        <v>1</v>
      </c>
      <c r="D47" s="11">
        <f t="shared" si="13"/>
        <v>-0.69177389163979974</v>
      </c>
      <c r="E47" s="11">
        <f t="shared" si="14"/>
        <v>38191.809217046233</v>
      </c>
      <c r="F47" s="8">
        <f t="shared" si="3"/>
        <v>0.3082261083602002</v>
      </c>
      <c r="G47" s="7">
        <f t="shared" si="7"/>
        <v>0.14441456299620151</v>
      </c>
      <c r="H47" s="8">
        <f t="shared" si="8"/>
        <v>0.53913322007355757</v>
      </c>
      <c r="I47" s="2">
        <f t="shared" si="4"/>
        <v>3.4951794386142314E-2</v>
      </c>
      <c r="J47" s="8">
        <f t="shared" ref="J47" si="15">H47/($W$26*G47)</f>
        <v>2.9845407386420303E-3</v>
      </c>
      <c r="K47" s="78">
        <f t="shared" si="9"/>
        <v>0.1439893252077579</v>
      </c>
      <c r="L47" s="2">
        <f t="shared" si="5"/>
        <v>0</v>
      </c>
      <c r="M47" s="2">
        <f t="shared" si="11"/>
        <v>6.7457796770914081E-11</v>
      </c>
      <c r="N47" s="96">
        <f>IF(N46&lt;0,0,$F$40+3*$M$40+$K$40+$J$40-F47-3*M47-J47-K47)</f>
        <v>0</v>
      </c>
      <c r="O47" s="8">
        <f t="shared" si="2"/>
        <v>1.1736995518299593</v>
      </c>
      <c r="P47" s="20"/>
      <c r="Q47" s="35"/>
      <c r="R47" s="36"/>
      <c r="S47" s="35"/>
      <c r="T47" s="35"/>
      <c r="U47" s="20"/>
      <c r="V47" s="4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</row>
    <row r="48" spans="1:35">
      <c r="A48" s="3">
        <v>8</v>
      </c>
      <c r="B48" s="11">
        <f t="shared" si="12"/>
        <v>13772.676130321724</v>
      </c>
      <c r="C48" s="11">
        <v>1</v>
      </c>
      <c r="D48" s="11">
        <f t="shared" si="13"/>
        <v>-0.71075228147908642</v>
      </c>
      <c r="E48" s="11">
        <f t="shared" si="14"/>
        <v>39156.843926794885</v>
      </c>
      <c r="F48" s="8">
        <f t="shared" si="3"/>
        <v>0.28924771852091358</v>
      </c>
      <c r="G48" s="7">
        <f t="shared" si="7"/>
        <v>0.14004558869793371</v>
      </c>
      <c r="H48" s="8">
        <f t="shared" si="8"/>
        <v>0.58145897399040802</v>
      </c>
      <c r="I48" s="2">
        <f t="shared" si="4"/>
        <v>0.14861659517188491</v>
      </c>
      <c r="J48" s="60">
        <f>IF(N47=0,($F$40+3*$M$40+$J$40+$K$40-F48-3*M47)/(1+($W$22*H48/G48)),H48/($W$26*G48))</f>
        <v>1.9672688760394028E-4</v>
      </c>
      <c r="K48" s="78">
        <f t="shared" si="9"/>
        <v>1.0555554389109139E-2</v>
      </c>
      <c r="L48" s="2">
        <f t="shared" si="5"/>
        <v>0</v>
      </c>
      <c r="M48" s="2">
        <f t="shared" si="11"/>
        <v>1.2264016514598369E-14</v>
      </c>
      <c r="N48" s="60">
        <f>IF(N47=0,0,$F$40+3*$M$40+$K$40+$J$40-F48-3*M48-J48-K48)</f>
        <v>0</v>
      </c>
      <c r="O48" s="8">
        <f t="shared" si="2"/>
        <v>1.1701211576578656</v>
      </c>
      <c r="P48" s="20"/>
      <c r="Q48" s="35"/>
      <c r="R48" s="36"/>
      <c r="S48" s="35"/>
      <c r="T48" s="35"/>
      <c r="U48" s="20"/>
      <c r="V48" s="4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</row>
    <row r="49" spans="1:35">
      <c r="A49" s="3">
        <v>9</v>
      </c>
      <c r="B49" s="11">
        <f t="shared" si="12"/>
        <v>13814.794900396377</v>
      </c>
      <c r="C49" s="11">
        <v>1</v>
      </c>
      <c r="D49" s="11">
        <f t="shared" si="13"/>
        <v>-0.78173473811546645</v>
      </c>
      <c r="E49" s="11">
        <f t="shared" si="14"/>
        <v>43199.020294320973</v>
      </c>
      <c r="F49" s="8">
        <f t="shared" si="3"/>
        <v>0.21826526188453349</v>
      </c>
      <c r="G49" s="7">
        <f t="shared" si="7"/>
        <v>0.12146851430144809</v>
      </c>
      <c r="H49" s="8">
        <f t="shared" si="8"/>
        <v>0.74200096192943588</v>
      </c>
      <c r="I49" s="2">
        <f t="shared" si="4"/>
        <v>-2.2240066937167383E-3</v>
      </c>
      <c r="J49" s="60">
        <f>IF(N48=0,($F$40+3*$M$40+$J$40+$K$40-F49-3*M48)/(1+($W$22*H49/G49)),H49/($W$26*G49))</f>
        <v>1.0224247728619091E-3</v>
      </c>
      <c r="K49" s="78">
        <f t="shared" si="9"/>
        <v>8.0712313342567857E-2</v>
      </c>
      <c r="L49" s="2">
        <f t="shared" si="5"/>
        <v>0</v>
      </c>
      <c r="M49" s="2">
        <f t="shared" si="11"/>
        <v>3.1159904980897728E-13</v>
      </c>
      <c r="N49" s="60">
        <f>IF(N48=0,0,$F$40+3*$M$40+$K$40+$J$40-F49-3*M49-J49-K49)</f>
        <v>0</v>
      </c>
      <c r="O49" s="8">
        <f t="shared" si="2"/>
        <v>1.1612454695374419</v>
      </c>
      <c r="P49" s="20"/>
      <c r="Q49" s="35"/>
      <c r="R49" s="36"/>
      <c r="S49" s="35"/>
      <c r="T49" s="35"/>
      <c r="U49" s="20"/>
      <c r="V49" s="4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</row>
    <row r="50" spans="1:35">
      <c r="A50" s="3">
        <v>10</v>
      </c>
      <c r="B50" s="11">
        <f t="shared" si="12"/>
        <v>13920.384815879432</v>
      </c>
      <c r="C50" s="11">
        <v>1</v>
      </c>
      <c r="D50" s="11">
        <f t="shared" si="13"/>
        <v>-0.77905862174164331</v>
      </c>
      <c r="E50" s="11">
        <f t="shared" si="14"/>
        <v>43380.183235089316</v>
      </c>
      <c r="F50" s="8">
        <f t="shared" si="3"/>
        <v>0.22094137825835664</v>
      </c>
      <c r="G50" s="7">
        <f t="shared" si="7"/>
        <v>0.12174651513816268</v>
      </c>
      <c r="H50" s="8">
        <f t="shared" si="8"/>
        <v>0.73637072834387762</v>
      </c>
      <c r="I50" s="2">
        <f t="shared" si="4"/>
        <v>3.2553475142819864E-3</v>
      </c>
      <c r="J50" s="60">
        <f>IF(N49=0,($F$40+3*$M$40+$J$40+$K$40-F50-3*M49)/(1+($W$22*H50/G50)),H50/($W$26*G50))</f>
        <v>9.9866685385879297E-4</v>
      </c>
      <c r="K50" s="78">
        <f t="shared" si="9"/>
        <v>7.8059954886849817E-2</v>
      </c>
      <c r="L50" s="2">
        <f t="shared" si="5"/>
        <v>0</v>
      </c>
      <c r="M50" s="2">
        <f t="shared" si="11"/>
        <v>3.1599363013784171E-13</v>
      </c>
      <c r="N50" s="60">
        <f t="shared" ref="N50:N80" si="16">IF(N49=0,0,$F$40+3*$M$40+$K$40+$J$40-F50-3*M50-J50-K50)</f>
        <v>0</v>
      </c>
      <c r="O50" s="8">
        <f t="shared" si="2"/>
        <v>1.1613725909957036</v>
      </c>
      <c r="P50" s="20"/>
      <c r="Q50" s="35"/>
      <c r="R50" s="36"/>
      <c r="S50" s="35"/>
      <c r="T50" s="35"/>
      <c r="U50" s="20"/>
      <c r="V50" s="4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</row>
    <row r="51" spans="1:35">
      <c r="A51" s="3">
        <v>11</v>
      </c>
      <c r="B51" s="11">
        <f t="shared" si="12"/>
        <v>13918.861119151028</v>
      </c>
      <c r="C51" s="11">
        <v>1</v>
      </c>
      <c r="D51" s="11">
        <f t="shared" si="13"/>
        <v>-0.78055709905835913</v>
      </c>
      <c r="E51" s="11">
        <f t="shared" si="14"/>
        <v>43458.863429442848</v>
      </c>
      <c r="F51" s="8">
        <f t="shared" si="3"/>
        <v>0.21944290094164087</v>
      </c>
      <c r="G51" s="7">
        <f t="shared" si="7"/>
        <v>0.12133959669887742</v>
      </c>
      <c r="H51" s="8">
        <f t="shared" si="8"/>
        <v>0.73977460141657692</v>
      </c>
      <c r="I51" s="2">
        <f t="shared" si="4"/>
        <v>6.0414737875524741E-5</v>
      </c>
      <c r="J51" s="60">
        <f t="shared" ref="J51:J80" si="17">IF(N50=0,($F$40+3*$M$40+$J$40+$K$40-F51-3*M50)/(1+($W$22*H51/G51)),H51/($W$26*G51))</f>
        <v>1.0096290071503369E-3</v>
      </c>
      <c r="K51" s="78">
        <f t="shared" si="9"/>
        <v>7.954747005026086E-2</v>
      </c>
      <c r="L51" s="2">
        <f t="shared" si="5"/>
        <v>0</v>
      </c>
      <c r="M51" s="2">
        <f t="shared" si="11"/>
        <v>3.1436196835621534E-13</v>
      </c>
      <c r="N51" s="60">
        <f t="shared" si="16"/>
        <v>0</v>
      </c>
      <c r="O51" s="8">
        <f t="shared" si="2"/>
        <v>1.1611746128526965</v>
      </c>
      <c r="P51" s="20"/>
      <c r="Q51" s="35"/>
      <c r="R51" s="36"/>
      <c r="S51" s="35"/>
      <c r="T51" s="35"/>
      <c r="U51" s="20"/>
      <c r="V51" s="4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</row>
    <row r="52" spans="1:35">
      <c r="A52" s="3">
        <v>12</v>
      </c>
      <c r="B52" s="11">
        <f t="shared" si="12"/>
        <v>13921.234259457955</v>
      </c>
      <c r="C52" s="11">
        <v>1</v>
      </c>
      <c r="D52" s="11">
        <f t="shared" si="13"/>
        <v>-0.78054700329628512</v>
      </c>
      <c r="E52" s="11">
        <f t="shared" si="14"/>
        <v>43465.710733621941</v>
      </c>
      <c r="F52" s="8">
        <f t="shared" si="3"/>
        <v>0.21945299670371485</v>
      </c>
      <c r="G52" s="7">
        <f t="shared" si="7"/>
        <v>0.12133204485664298</v>
      </c>
      <c r="H52" s="8">
        <f t="shared" si="8"/>
        <v>0.7397619617346699</v>
      </c>
      <c r="I52" s="2">
        <f t="shared" si="4"/>
        <v>7.6744570388341494E-5</v>
      </c>
      <c r="J52" s="60">
        <f t="shared" si="17"/>
        <v>1.0094574661307838E-3</v>
      </c>
      <c r="K52" s="78">
        <f t="shared" si="9"/>
        <v>7.9537545829211326E-2</v>
      </c>
      <c r="L52" s="2">
        <f t="shared" si="5"/>
        <v>0</v>
      </c>
      <c r="M52" s="2">
        <f t="shared" si="11"/>
        <v>3.144024379022769E-13</v>
      </c>
      <c r="N52" s="60">
        <f t="shared" si="16"/>
        <v>0</v>
      </c>
      <c r="O52" s="8">
        <f t="shared" si="2"/>
        <v>1.1611707511610727</v>
      </c>
      <c r="P52" s="20"/>
      <c r="Q52" s="35"/>
      <c r="R52" s="36"/>
      <c r="S52" s="35"/>
      <c r="T52" s="35"/>
      <c r="U52" s="20"/>
      <c r="V52" s="4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</row>
    <row r="53" spans="1:35">
      <c r="A53" s="3">
        <v>13</v>
      </c>
      <c r="B53" s="11">
        <f t="shared" si="12"/>
        <v>13921.280557139566</v>
      </c>
      <c r="C53" s="11">
        <v>1</v>
      </c>
      <c r="D53" s="11">
        <f t="shared" si="13"/>
        <v>-0.78058097414061811</v>
      </c>
      <c r="E53" s="11">
        <f t="shared" si="14"/>
        <v>43467.746954307397</v>
      </c>
      <c r="F53" s="8">
        <f t="shared" si="3"/>
        <v>0.21941902585938186</v>
      </c>
      <c r="G53" s="7">
        <f t="shared" si="7"/>
        <v>0.12132245178534444</v>
      </c>
      <c r="H53" s="8">
        <f t="shared" si="8"/>
        <v>0.73983949649463421</v>
      </c>
      <c r="I53" s="2">
        <f t="shared" si="4"/>
        <v>4.1275431701887685E-6</v>
      </c>
      <c r="J53" s="60">
        <f t="shared" si="17"/>
        <v>1.0096998603245509E-3</v>
      </c>
      <c r="K53" s="78">
        <f t="shared" si="9"/>
        <v>7.9571274279350443E-2</v>
      </c>
      <c r="L53" s="2">
        <f t="shared" si="5"/>
        <v>0</v>
      </c>
      <c r="M53" s="2">
        <f t="shared" si="11"/>
        <v>3.1436230648160467E-13</v>
      </c>
      <c r="N53" s="60">
        <f t="shared" si="16"/>
        <v>0</v>
      </c>
      <c r="O53" s="8">
        <f t="shared" si="2"/>
        <v>1.1611660758225202</v>
      </c>
      <c r="P53" s="20"/>
      <c r="Q53" s="35"/>
      <c r="R53" s="36"/>
      <c r="S53" s="35"/>
      <c r="T53" s="35"/>
      <c r="U53" s="20"/>
      <c r="V53" s="4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</row>
    <row r="54" spans="1:35">
      <c r="A54" s="3">
        <v>14</v>
      </c>
      <c r="B54" s="11">
        <f t="shared" si="12"/>
        <v>13921.336610016966</v>
      </c>
      <c r="C54" s="11">
        <v>1</v>
      </c>
      <c r="D54" s="11">
        <f t="shared" si="13"/>
        <v>-0.78058195689987553</v>
      </c>
      <c r="E54" s="11">
        <f t="shared" si="14"/>
        <v>43467.976694835692</v>
      </c>
      <c r="F54" s="8">
        <f t="shared" si="3"/>
        <v>0.21941804310012444</v>
      </c>
      <c r="G54" s="7">
        <f t="shared" si="7"/>
        <v>0.12132193584244817</v>
      </c>
      <c r="H54" s="8">
        <f t="shared" si="8"/>
        <v>0.73984197795604545</v>
      </c>
      <c r="I54" s="2">
        <f t="shared" si="4"/>
        <v>1.906418154827799E-6</v>
      </c>
      <c r="J54" s="60">
        <f t="shared" si="17"/>
        <v>1.0097045902200642E-3</v>
      </c>
      <c r="K54" s="78">
        <f t="shared" si="9"/>
        <v>7.9572252308712427E-2</v>
      </c>
      <c r="L54" s="2">
        <f t="shared" si="5"/>
        <v>0</v>
      </c>
      <c r="M54" s="2">
        <f t="shared" si="11"/>
        <v>3.1436179752196138E-13</v>
      </c>
      <c r="N54" s="60">
        <f t="shared" si="16"/>
        <v>0</v>
      </c>
      <c r="O54" s="8">
        <f t="shared" si="2"/>
        <v>1.1611658202160198</v>
      </c>
      <c r="P54" s="20"/>
      <c r="Q54" s="35"/>
      <c r="R54" s="36"/>
      <c r="S54" s="35"/>
      <c r="T54" s="35"/>
      <c r="U54" s="20"/>
      <c r="V54" s="4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</row>
    <row r="55" spans="1:35">
      <c r="A55" s="3">
        <v>15</v>
      </c>
      <c r="B55" s="11">
        <f t="shared" si="12"/>
        <v>13921.339674509625</v>
      </c>
      <c r="C55" s="11">
        <v>1</v>
      </c>
      <c r="D55" s="11">
        <f t="shared" si="13"/>
        <v>-0.78058277056697367</v>
      </c>
      <c r="E55" s="11">
        <f t="shared" si="14"/>
        <v>43468.031572530621</v>
      </c>
      <c r="F55" s="8">
        <f t="shared" si="3"/>
        <v>0.2194172294330263</v>
      </c>
      <c r="G55" s="7">
        <f t="shared" si="7"/>
        <v>0.12132169754017882</v>
      </c>
      <c r="H55" s="8">
        <f t="shared" si="8"/>
        <v>0.7398438435925111</v>
      </c>
      <c r="I55" s="2">
        <f t="shared" si="4"/>
        <v>1.6279416391133932E-7</v>
      </c>
      <c r="J55" s="60">
        <f t="shared" si="17"/>
        <v>1.0097103129002064E-3</v>
      </c>
      <c r="K55" s="78">
        <f t="shared" si="9"/>
        <v>7.9573060253130448E-2</v>
      </c>
      <c r="L55" s="2">
        <f t="shared" si="5"/>
        <v>0</v>
      </c>
      <c r="M55" s="2">
        <f t="shared" si="11"/>
        <v>3.1436085734579204E-13</v>
      </c>
      <c r="N55" s="60">
        <f t="shared" si="16"/>
        <v>0</v>
      </c>
      <c r="O55" s="8">
        <f t="shared" si="2"/>
        <v>1.1611657039262253</v>
      </c>
      <c r="P55" s="20"/>
      <c r="Q55" s="35"/>
      <c r="R55" s="36"/>
      <c r="S55" s="35"/>
      <c r="T55" s="35"/>
      <c r="U55" s="20"/>
      <c r="V55" s="4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</row>
    <row r="56" spans="1:35">
      <c r="A56" s="3">
        <v>16</v>
      </c>
      <c r="B56" s="11">
        <f t="shared" si="12"/>
        <v>13921.341068720394</v>
      </c>
      <c r="C56" s="11">
        <v>1</v>
      </c>
      <c r="D56" s="11">
        <f t="shared" ref="D56:D63" si="18">F56-1-$G$8</f>
        <v>-0.78058282219815833</v>
      </c>
      <c r="E56" s="11">
        <f t="shared" ref="E56:E63" si="19">C56^2-4*B56*D56</f>
        <v>43468.038800819566</v>
      </c>
      <c r="F56" s="8">
        <f t="shared" si="3"/>
        <v>0.21941717780184172</v>
      </c>
      <c r="G56" s="7">
        <f t="shared" si="7"/>
        <v>0.12132167719090833</v>
      </c>
      <c r="H56" s="8">
        <f t="shared" si="8"/>
        <v>0.7398439672041508</v>
      </c>
      <c r="I56" s="2">
        <f t="shared" si="4"/>
        <v>4.9513719865270853E-8</v>
      </c>
      <c r="J56" s="60">
        <f t="shared" si="17"/>
        <v>1.0097106260209998E-3</v>
      </c>
      <c r="K56" s="78">
        <f t="shared" si="9"/>
        <v>7.9573111571194247E-2</v>
      </c>
      <c r="L56" s="2">
        <f t="shared" si="5"/>
        <v>0</v>
      </c>
      <c r="M56" s="2">
        <f t="shared" si="11"/>
        <v>3.1436081204024783E-13</v>
      </c>
      <c r="N56" s="60">
        <f t="shared" si="16"/>
        <v>0</v>
      </c>
      <c r="O56" s="8">
        <f t="shared" si="2"/>
        <v>1.1611656939081503</v>
      </c>
      <c r="P56" s="20"/>
      <c r="Q56" s="35"/>
      <c r="R56" s="36"/>
      <c r="S56" s="35"/>
      <c r="T56" s="35"/>
      <c r="U56" s="20"/>
      <c r="V56" s="4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</row>
    <row r="57" spans="1:35">
      <c r="A57" s="3">
        <v>17</v>
      </c>
      <c r="B57" s="11">
        <f t="shared" si="12"/>
        <v>13921.341188828179</v>
      </c>
      <c r="C57" s="11">
        <v>1</v>
      </c>
      <c r="D57" s="11">
        <f t="shared" si="18"/>
        <v>-0.78058284269221101</v>
      </c>
      <c r="E57" s="11">
        <f t="shared" si="19"/>
        <v>43468.040317054656</v>
      </c>
      <c r="F57" s="8">
        <f t="shared" si="3"/>
        <v>0.21941715730778899</v>
      </c>
      <c r="G57" s="7">
        <f t="shared" si="7"/>
        <v>0.12132167100169335</v>
      </c>
      <c r="H57" s="8">
        <f t="shared" si="8"/>
        <v>0.73984401438147129</v>
      </c>
      <c r="I57" s="2">
        <f t="shared" si="4"/>
        <v>5.5021811589317168E-9</v>
      </c>
      <c r="J57" s="60">
        <f t="shared" si="17"/>
        <v>1.0097107683695518E-3</v>
      </c>
      <c r="K57" s="78">
        <f t="shared" si="9"/>
        <v>7.957313192289843E-2</v>
      </c>
      <c r="L57" s="2">
        <f t="shared" si="5"/>
        <v>0</v>
      </c>
      <c r="M57" s="2">
        <f t="shared" si="11"/>
        <v>3.1436078887188458E-13</v>
      </c>
      <c r="N57" s="60">
        <f t="shared" si="16"/>
        <v>0</v>
      </c>
      <c r="O57" s="8">
        <f t="shared" si="2"/>
        <v>1.1611656908847172</v>
      </c>
      <c r="P57" s="20"/>
      <c r="Q57" s="35"/>
      <c r="R57" s="36"/>
      <c r="S57" s="35"/>
      <c r="T57" s="35"/>
      <c r="U57" s="20"/>
      <c r="V57" s="4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</row>
    <row r="58" spans="1:35">
      <c r="A58" s="3">
        <v>18</v>
      </c>
      <c r="B58" s="11">
        <f t="shared" si="12"/>
        <v>13921.341225076447</v>
      </c>
      <c r="C58" s="11">
        <v>1</v>
      </c>
      <c r="D58" s="11">
        <f t="shared" si="18"/>
        <v>-0.78058284460864669</v>
      </c>
      <c r="E58" s="11">
        <f t="shared" si="19"/>
        <v>43468.040536951179</v>
      </c>
      <c r="F58" s="8">
        <f t="shared" si="3"/>
        <v>0.21941715539135337</v>
      </c>
      <c r="G58" s="7">
        <f t="shared" si="7"/>
        <v>0.1213216703139207</v>
      </c>
      <c r="H58" s="8">
        <f t="shared" si="8"/>
        <v>0.73984401890211515</v>
      </c>
      <c r="I58" s="2">
        <f t="shared" si="4"/>
        <v>1.331557850526438E-9</v>
      </c>
      <c r="J58" s="60">
        <f t="shared" si="17"/>
        <v>1.0097107806380503E-3</v>
      </c>
      <c r="K58" s="78">
        <f t="shared" si="9"/>
        <v>7.9573133827065559E-2</v>
      </c>
      <c r="L58" s="2">
        <f t="shared" si="5"/>
        <v>0</v>
      </c>
      <c r="M58" s="2">
        <f t="shared" si="11"/>
        <v>3.1436078700472817E-13</v>
      </c>
      <c r="N58" s="60">
        <f t="shared" si="16"/>
        <v>0</v>
      </c>
      <c r="O58" s="8">
        <f t="shared" si="2"/>
        <v>1.1611656905469649</v>
      </c>
      <c r="P58" s="20"/>
      <c r="Q58" s="35"/>
      <c r="R58" s="36"/>
      <c r="S58" s="35"/>
      <c r="T58" s="35"/>
      <c r="U58" s="20"/>
      <c r="V58" s="4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</row>
    <row r="59" spans="1:35">
      <c r="A59" s="3">
        <v>19</v>
      </c>
      <c r="B59" s="11">
        <f t="shared" si="12"/>
        <v>13921.341229125794</v>
      </c>
      <c r="C59" s="11">
        <v>1</v>
      </c>
      <c r="D59" s="11">
        <f t="shared" si="18"/>
        <v>-0.78058284514687348</v>
      </c>
      <c r="E59" s="11">
        <f t="shared" si="19"/>
        <v>43468.040579565939</v>
      </c>
      <c r="F59" s="8">
        <f t="shared" si="3"/>
        <v>0.21941715485312646</v>
      </c>
      <c r="G59" s="7">
        <f t="shared" si="7"/>
        <v>0.12132167014747597</v>
      </c>
      <c r="H59" s="8">
        <f t="shared" si="8"/>
        <v>0.73984402014501371</v>
      </c>
      <c r="I59" s="2">
        <f t="shared" si="4"/>
        <v>1.7373223150894679E-10</v>
      </c>
      <c r="J59" s="60">
        <f t="shared" si="17"/>
        <v>1.0097107843391848E-3</v>
      </c>
      <c r="K59" s="78">
        <f t="shared" si="9"/>
        <v>7.957313436159133E-2</v>
      </c>
      <c r="L59" s="2">
        <f t="shared" si="5"/>
        <v>0</v>
      </c>
      <c r="M59" s="2">
        <f t="shared" si="11"/>
        <v>3.1436078640697557E-13</v>
      </c>
      <c r="N59" s="60">
        <f t="shared" si="16"/>
        <v>0</v>
      </c>
      <c r="O59" s="8">
        <f t="shared" si="2"/>
        <v>1.1611656904655931</v>
      </c>
      <c r="P59" s="20"/>
      <c r="Q59" s="35"/>
      <c r="R59" s="36"/>
      <c r="S59" s="35"/>
      <c r="T59" s="35"/>
      <c r="U59" s="20"/>
      <c r="V59" s="4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</row>
    <row r="60" spans="1:35">
      <c r="A60" s="3">
        <v>20</v>
      </c>
      <c r="B60" s="11">
        <f t="shared" si="12"/>
        <v>13921.34123010137</v>
      </c>
      <c r="C60" s="11">
        <v>1</v>
      </c>
      <c r="D60" s="11">
        <f t="shared" si="18"/>
        <v>-0.7805828452100485</v>
      </c>
      <c r="E60" s="11">
        <f t="shared" si="19"/>
        <v>43468.040586129937</v>
      </c>
      <c r="F60" s="8">
        <f t="shared" si="3"/>
        <v>0.21941715478995152</v>
      </c>
      <c r="G60" s="7">
        <f t="shared" si="7"/>
        <v>0.12132167012575944</v>
      </c>
      <c r="H60" s="8">
        <f t="shared" si="8"/>
        <v>0.73984402029308016</v>
      </c>
      <c r="I60" s="2">
        <f t="shared" si="4"/>
        <v>3.6730856203814888E-11</v>
      </c>
      <c r="J60" s="60">
        <f t="shared" si="17"/>
        <v>1.0097107847527563E-3</v>
      </c>
      <c r="K60" s="78">
        <f t="shared" si="9"/>
        <v>7.9573134424352696E-2</v>
      </c>
      <c r="L60" s="2">
        <f t="shared" si="5"/>
        <v>0</v>
      </c>
      <c r="M60" s="2">
        <f t="shared" si="11"/>
        <v>3.1436078634280036E-13</v>
      </c>
      <c r="N60" s="60">
        <f t="shared" si="16"/>
        <v>0</v>
      </c>
      <c r="O60" s="8">
        <f t="shared" si="2"/>
        <v>1.1611656904549417</v>
      </c>
      <c r="P60" s="20"/>
      <c r="Q60" s="35"/>
      <c r="R60" s="36"/>
      <c r="S60" s="35"/>
      <c r="T60" s="35"/>
      <c r="U60" s="20"/>
      <c r="V60" s="4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</row>
    <row r="61" spans="1:35">
      <c r="A61" s="3">
        <v>21</v>
      </c>
      <c r="B61" s="11">
        <f t="shared" si="12"/>
        <v>13921.341230229071</v>
      </c>
      <c r="C61" s="11">
        <v>1</v>
      </c>
      <c r="D61" s="11">
        <f t="shared" si="18"/>
        <v>-0.78058284522464316</v>
      </c>
      <c r="E61" s="11">
        <f t="shared" si="19"/>
        <v>43468.040587341369</v>
      </c>
      <c r="F61" s="8">
        <f t="shared" si="3"/>
        <v>0.21941715477535681</v>
      </c>
      <c r="G61" s="7">
        <f t="shared" si="7"/>
        <v>0.12132167012116808</v>
      </c>
      <c r="H61" s="8">
        <f t="shared" si="8"/>
        <v>0.73984402032686081</v>
      </c>
      <c r="I61" s="2">
        <f t="shared" si="4"/>
        <v>5.2956405536749851E-12</v>
      </c>
      <c r="J61" s="60">
        <f t="shared" si="17"/>
        <v>1.0097107848523713E-3</v>
      </c>
      <c r="K61" s="78">
        <f t="shared" si="9"/>
        <v>7.9573134438847781E-2</v>
      </c>
      <c r="L61" s="2">
        <f t="shared" si="5"/>
        <v>0</v>
      </c>
      <c r="M61" s="2">
        <f t="shared" si="11"/>
        <v>3.1436078632680615E-13</v>
      </c>
      <c r="N61" s="60">
        <f t="shared" si="16"/>
        <v>0</v>
      </c>
      <c r="O61" s="8">
        <f t="shared" si="2"/>
        <v>1.1611656904526957</v>
      </c>
      <c r="P61" s="20"/>
      <c r="Q61" s="35"/>
      <c r="R61" s="36"/>
      <c r="S61" s="35"/>
      <c r="T61" s="35"/>
      <c r="U61" s="20"/>
      <c r="V61" s="4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</row>
    <row r="62" spans="1:35">
      <c r="A62" s="3">
        <v>22</v>
      </c>
      <c r="B62" s="11">
        <f t="shared" si="12"/>
        <v>13921.341230255999</v>
      </c>
      <c r="C62" s="11">
        <v>1</v>
      </c>
      <c r="D62" s="11">
        <f t="shared" si="18"/>
        <v>-0.78058284522661314</v>
      </c>
      <c r="E62" s="11">
        <f t="shared" si="19"/>
        <v>43468.04058753515</v>
      </c>
      <c r="F62" s="8">
        <f t="shared" si="3"/>
        <v>0.21941715477338683</v>
      </c>
      <c r="G62" s="7">
        <f t="shared" si="7"/>
        <v>0.12132167012050613</v>
      </c>
      <c r="H62" s="8">
        <f t="shared" si="8"/>
        <v>0.73984402033146279</v>
      </c>
      <c r="I62" s="2">
        <f t="shared" si="4"/>
        <v>1.0311922756661707E-12</v>
      </c>
      <c r="J62" s="60">
        <f t="shared" si="17"/>
        <v>1.0097107848654131E-3</v>
      </c>
      <c r="K62" s="78">
        <f t="shared" si="9"/>
        <v>7.9573134440804716E-2</v>
      </c>
      <c r="L62" s="2">
        <f t="shared" si="5"/>
        <v>0</v>
      </c>
      <c r="M62" s="2">
        <f t="shared" si="11"/>
        <v>3.1436078632476283E-13</v>
      </c>
      <c r="N62" s="60">
        <f t="shared" si="16"/>
        <v>0</v>
      </c>
      <c r="O62" s="8">
        <f t="shared" si="2"/>
        <v>1.1611656904523713</v>
      </c>
      <c r="P62" s="20"/>
      <c r="Q62" s="35"/>
      <c r="R62" s="36"/>
      <c r="S62" s="35"/>
      <c r="T62" s="35"/>
      <c r="U62" s="20"/>
      <c r="V62" s="4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</row>
    <row r="63" spans="1:35">
      <c r="A63" s="3">
        <v>23</v>
      </c>
      <c r="B63" s="11">
        <f t="shared" si="12"/>
        <v>13921.341230259888</v>
      </c>
      <c r="C63" s="11">
        <v>1</v>
      </c>
      <c r="D63" s="11">
        <f t="shared" si="18"/>
        <v>-0.78058284522701804</v>
      </c>
      <c r="E63" s="11">
        <f t="shared" si="19"/>
        <v>43468.040587569834</v>
      </c>
      <c r="F63" s="8">
        <f t="shared" si="3"/>
        <v>0.21941715477298193</v>
      </c>
      <c r="G63" s="7">
        <f t="shared" si="7"/>
        <v>0.12132167012037723</v>
      </c>
      <c r="H63" s="8">
        <f t="shared" si="8"/>
        <v>0.73984402033240149</v>
      </c>
      <c r="I63" s="2">
        <f t="shared" si="4"/>
        <v>1.5832040539676129E-13</v>
      </c>
      <c r="J63" s="60">
        <f t="shared" si="17"/>
        <v>1.0097107848681623E-3</v>
      </c>
      <c r="K63" s="78">
        <f t="shared" si="9"/>
        <v>7.9573134441206866E-2</v>
      </c>
      <c r="L63" s="2">
        <f t="shared" si="5"/>
        <v>0</v>
      </c>
      <c r="M63" s="2">
        <f t="shared" si="11"/>
        <v>3.1436078632432309E-13</v>
      </c>
      <c r="N63" s="60">
        <f t="shared" si="16"/>
        <v>0</v>
      </c>
      <c r="O63" s="8">
        <f t="shared" si="2"/>
        <v>1.1611656904523084</v>
      </c>
      <c r="P63" s="20"/>
      <c r="Q63" s="35"/>
      <c r="R63" s="36"/>
      <c r="S63" s="35"/>
      <c r="T63" s="35"/>
      <c r="U63" s="20"/>
      <c r="V63" s="4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</row>
    <row r="64" spans="1:35" s="3" customFormat="1">
      <c r="A64" s="3">
        <v>24</v>
      </c>
      <c r="B64" s="11">
        <f t="shared" si="12"/>
        <v>13921.341230260641</v>
      </c>
      <c r="C64" s="11">
        <v>1</v>
      </c>
      <c r="D64" s="11">
        <f t="shared" ref="D64" si="20">F64-1-$G$8</f>
        <v>-0.78058284522707777</v>
      </c>
      <c r="E64" s="11">
        <f t="shared" ref="E64" si="21">C64^2-4*B64*D64</f>
        <v>43468.040587575517</v>
      </c>
      <c r="F64" s="8">
        <f t="shared" si="3"/>
        <v>0.21941715477292217</v>
      </c>
      <c r="G64" s="7">
        <f t="shared" si="7"/>
        <v>0.12132167012035744</v>
      </c>
      <c r="H64" s="8">
        <f t="shared" si="8"/>
        <v>0.73984402033254082</v>
      </c>
      <c r="I64" s="2">
        <f t="shared" si="4"/>
        <v>2.9085458000399633E-14</v>
      </c>
      <c r="J64" s="60">
        <f t="shared" si="17"/>
        <v>1.0097107848685608E-3</v>
      </c>
      <c r="K64" s="78">
        <f t="shared" si="9"/>
        <v>7.9573134441266236E-2</v>
      </c>
      <c r="L64" s="2">
        <f t="shared" si="5"/>
        <v>0</v>
      </c>
      <c r="M64" s="2">
        <f t="shared" si="11"/>
        <v>3.1436078632426079E-13</v>
      </c>
      <c r="N64" s="60">
        <f t="shared" si="16"/>
        <v>0</v>
      </c>
      <c r="O64" s="8">
        <f t="shared" si="2"/>
        <v>1.1611656904522987</v>
      </c>
      <c r="P64" s="20"/>
      <c r="Q64" s="35"/>
      <c r="R64" s="36"/>
      <c r="S64" s="35"/>
      <c r="T64" s="35"/>
      <c r="U64" s="20"/>
      <c r="V64" s="4"/>
    </row>
    <row r="65" spans="1:22" s="3" customFormat="1">
      <c r="A65" s="3">
        <v>25</v>
      </c>
      <c r="B65" s="11">
        <f t="shared" si="12"/>
        <v>13921.341230260759</v>
      </c>
      <c r="C65" s="11">
        <v>1</v>
      </c>
      <c r="D65" s="11">
        <f t="shared" ref="D65" si="22">F65-1-$G$8</f>
        <v>-0.78058284522708909</v>
      </c>
      <c r="E65" s="11">
        <f t="shared" ref="E65" si="23">C65^2-4*B65*D65</f>
        <v>43468.040587576514</v>
      </c>
      <c r="F65" s="8">
        <f t="shared" si="3"/>
        <v>0.21941715477291088</v>
      </c>
      <c r="G65" s="7">
        <f t="shared" si="7"/>
        <v>0.1213216701203538</v>
      </c>
      <c r="H65" s="8">
        <f t="shared" si="8"/>
        <v>0.73984402033256702</v>
      </c>
      <c r="I65" s="2">
        <f t="shared" si="4"/>
        <v>4.7195320568294008E-15</v>
      </c>
      <c r="J65" s="60">
        <f t="shared" si="17"/>
        <v>1.0097107848686371E-3</v>
      </c>
      <c r="K65" s="78">
        <f t="shared" si="9"/>
        <v>7.9573134441277463E-2</v>
      </c>
      <c r="L65" s="2">
        <f t="shared" si="5"/>
        <v>0</v>
      </c>
      <c r="M65" s="2">
        <f t="shared" si="11"/>
        <v>3.1436078632424857E-13</v>
      </c>
      <c r="N65" s="60">
        <f t="shared" si="16"/>
        <v>0</v>
      </c>
      <c r="O65" s="8">
        <f t="shared" si="2"/>
        <v>1.1611656904522969</v>
      </c>
      <c r="P65" s="20"/>
      <c r="Q65" s="35"/>
      <c r="R65" s="36"/>
      <c r="S65" s="35"/>
      <c r="T65" s="35"/>
      <c r="U65" s="20"/>
      <c r="V65" s="4"/>
    </row>
    <row r="66" spans="1:22" s="3" customFormat="1">
      <c r="A66" s="3">
        <v>26</v>
      </c>
      <c r="B66" s="11">
        <f t="shared" si="12"/>
        <v>13921.341230260779</v>
      </c>
      <c r="C66" s="11">
        <v>1</v>
      </c>
      <c r="D66" s="11">
        <f t="shared" ref="D66:D67" si="24">F66-1-$G$8</f>
        <v>-0.78058284522709098</v>
      </c>
      <c r="E66" s="11">
        <f t="shared" ref="E66:E67" si="25">C66^2-4*B66*D66</f>
        <v>43468.040587576681</v>
      </c>
      <c r="F66" s="8">
        <f t="shared" si="3"/>
        <v>0.21941715477290905</v>
      </c>
      <c r="G66" s="7">
        <f t="shared" si="7"/>
        <v>0.12132167012035321</v>
      </c>
      <c r="H66" s="8">
        <f t="shared" si="8"/>
        <v>0.73984402033257135</v>
      </c>
      <c r="I66" s="2">
        <f t="shared" si="4"/>
        <v>7.4441321162854734E-16</v>
      </c>
      <c r="J66" s="60">
        <f t="shared" si="17"/>
        <v>1.0097107848686493E-3</v>
      </c>
      <c r="K66" s="78">
        <f t="shared" si="9"/>
        <v>7.9573134441279267E-2</v>
      </c>
      <c r="L66" s="2">
        <f t="shared" si="5"/>
        <v>0</v>
      </c>
      <c r="M66" s="2">
        <f t="shared" si="11"/>
        <v>3.1436078632424645E-13</v>
      </c>
      <c r="N66" s="60">
        <f t="shared" si="16"/>
        <v>0</v>
      </c>
      <c r="O66" s="8">
        <f t="shared" si="2"/>
        <v>1.1611656904522965</v>
      </c>
      <c r="P66" s="20"/>
      <c r="Q66" s="35"/>
      <c r="R66" s="36"/>
      <c r="S66" s="35"/>
      <c r="T66" s="35"/>
      <c r="U66" s="20"/>
      <c r="V66" s="4"/>
    </row>
    <row r="67" spans="1:22" s="3" customFormat="1">
      <c r="A67" s="3">
        <v>27</v>
      </c>
      <c r="B67" s="11">
        <f t="shared" si="12"/>
        <v>13921.341230260785</v>
      </c>
      <c r="C67" s="11">
        <v>1</v>
      </c>
      <c r="D67" s="11">
        <f t="shared" si="24"/>
        <v>-0.7805828452270912</v>
      </c>
      <c r="E67" s="11">
        <f t="shared" si="25"/>
        <v>43468.04058757671</v>
      </c>
      <c r="F67" s="8">
        <f t="shared" si="3"/>
        <v>0.2194171547729088</v>
      </c>
      <c r="G67" s="7">
        <f t="shared" si="7"/>
        <v>0.12132167012035311</v>
      </c>
      <c r="H67" s="8">
        <f t="shared" si="8"/>
        <v>0.73984402033257191</v>
      </c>
      <c r="I67" s="2">
        <f t="shared" si="4"/>
        <v>2.0231212538579513E-16</v>
      </c>
      <c r="J67" s="60">
        <f t="shared" si="17"/>
        <v>1.009710784868651E-3</v>
      </c>
      <c r="K67" s="78">
        <f t="shared" si="9"/>
        <v>7.9573134441279531E-2</v>
      </c>
      <c r="L67" s="2">
        <f t="shared" si="5"/>
        <v>0</v>
      </c>
      <c r="M67" s="2">
        <f t="shared" si="11"/>
        <v>3.143607863242465E-13</v>
      </c>
      <c r="N67" s="60">
        <f t="shared" si="16"/>
        <v>0</v>
      </c>
      <c r="O67" s="8">
        <f t="shared" si="2"/>
        <v>1.1611656904522967</v>
      </c>
      <c r="P67" s="20"/>
      <c r="Q67" s="35"/>
      <c r="R67" s="36"/>
      <c r="S67" s="35"/>
      <c r="T67" s="35"/>
      <c r="U67" s="20"/>
      <c r="V67" s="4"/>
    </row>
    <row r="68" spans="1:22" s="3" customFormat="1">
      <c r="A68" s="3">
        <v>28</v>
      </c>
      <c r="B68" s="11">
        <f t="shared" si="12"/>
        <v>13921.341230260783</v>
      </c>
      <c r="C68" s="11">
        <v>1</v>
      </c>
      <c r="D68" s="11">
        <f t="shared" ref="D68:D70" si="26">F68-1-$G$8</f>
        <v>-0.78058284522709132</v>
      </c>
      <c r="E68" s="11">
        <f t="shared" ref="E68:E70" si="27">C68^2-4*B68*D68</f>
        <v>43468.04058757671</v>
      </c>
      <c r="F68" s="8">
        <f t="shared" si="3"/>
        <v>0.21941715477290863</v>
      </c>
      <c r="G68" s="7">
        <f t="shared" si="7"/>
        <v>0.12132167012035308</v>
      </c>
      <c r="H68" s="8">
        <f t="shared" si="8"/>
        <v>0.73984402033257224</v>
      </c>
      <c r="I68" s="2">
        <f t="shared" si="4"/>
        <v>-1.0354130747236567E-16</v>
      </c>
      <c r="J68" s="60">
        <f t="shared" si="17"/>
        <v>1.0097107848686521E-3</v>
      </c>
      <c r="K68" s="78">
        <f t="shared" si="9"/>
        <v>7.9573134441279669E-2</v>
      </c>
      <c r="L68" s="2">
        <f t="shared" si="5"/>
        <v>0</v>
      </c>
      <c r="M68" s="2">
        <f t="shared" si="11"/>
        <v>3.1436078632424585E-13</v>
      </c>
      <c r="N68" s="60">
        <f t="shared" si="16"/>
        <v>0</v>
      </c>
      <c r="O68" s="8">
        <f t="shared" si="2"/>
        <v>1.1611656904522967</v>
      </c>
      <c r="P68" s="20"/>
      <c r="Q68" s="35"/>
      <c r="R68" s="36"/>
      <c r="S68" s="35"/>
      <c r="T68" s="35"/>
      <c r="U68" s="20"/>
      <c r="V68" s="4"/>
    </row>
    <row r="69" spans="1:22" s="3" customFormat="1">
      <c r="A69" s="3">
        <v>29</v>
      </c>
      <c r="B69" s="11">
        <f t="shared" si="12"/>
        <v>13921.341230260783</v>
      </c>
      <c r="C69" s="11">
        <v>1</v>
      </c>
      <c r="D69" s="11">
        <f t="shared" si="26"/>
        <v>-0.78058284522709132</v>
      </c>
      <c r="E69" s="11">
        <f t="shared" si="27"/>
        <v>43468.04058757671</v>
      </c>
      <c r="F69" s="8">
        <f t="shared" si="3"/>
        <v>0.21941715477290868</v>
      </c>
      <c r="G69" s="7">
        <f t="shared" si="7"/>
        <v>0.1213216701203531</v>
      </c>
      <c r="H69" s="8">
        <f t="shared" si="8"/>
        <v>0.73984402033257213</v>
      </c>
      <c r="I69" s="2">
        <f t="shared" si="4"/>
        <v>-2.0166160408230382E-17</v>
      </c>
      <c r="J69" s="60">
        <f t="shared" si="17"/>
        <v>1.0097107848686519E-3</v>
      </c>
      <c r="K69" s="78">
        <f t="shared" si="9"/>
        <v>7.9573134441279642E-2</v>
      </c>
      <c r="L69" s="2">
        <f t="shared" si="5"/>
        <v>0</v>
      </c>
      <c r="M69" s="2">
        <f t="shared" si="11"/>
        <v>3.1436078632424615E-13</v>
      </c>
      <c r="N69" s="60">
        <f t="shared" si="16"/>
        <v>0</v>
      </c>
      <c r="O69" s="8">
        <f t="shared" si="2"/>
        <v>1.1611656904522965</v>
      </c>
      <c r="P69" s="20"/>
      <c r="Q69" s="35"/>
      <c r="R69" s="36"/>
      <c r="S69" s="35"/>
      <c r="T69" s="35"/>
      <c r="U69" s="20"/>
      <c r="V69" s="4"/>
    </row>
    <row r="70" spans="1:22" s="3" customFormat="1">
      <c r="A70" s="3">
        <v>30</v>
      </c>
      <c r="B70" s="11">
        <f t="shared" si="12"/>
        <v>13921.341230260785</v>
      </c>
      <c r="C70" s="11">
        <v>1</v>
      </c>
      <c r="D70" s="11">
        <f t="shared" si="26"/>
        <v>-0.78058284522709132</v>
      </c>
      <c r="E70" s="11">
        <f t="shared" si="27"/>
        <v>43468.040587576717</v>
      </c>
      <c r="F70" s="8">
        <f t="shared" si="3"/>
        <v>0.21941715477290874</v>
      </c>
      <c r="G70" s="7">
        <f t="shared" si="7"/>
        <v>0.1213216701203531</v>
      </c>
      <c r="H70" s="8">
        <f t="shared" si="8"/>
        <v>0.73984402033257202</v>
      </c>
      <c r="I70" s="2">
        <f t="shared" si="4"/>
        <v>1.0505919051384538E-16</v>
      </c>
      <c r="J70" s="60">
        <f t="shared" si="17"/>
        <v>1.0097107848686512E-3</v>
      </c>
      <c r="K70" s="78">
        <f t="shared" si="9"/>
        <v>7.9573134441279572E-2</v>
      </c>
      <c r="L70" s="2">
        <f t="shared" si="5"/>
        <v>0</v>
      </c>
      <c r="M70" s="2">
        <f t="shared" si="11"/>
        <v>3.1436078632424625E-13</v>
      </c>
      <c r="N70" s="60">
        <f t="shared" si="16"/>
        <v>0</v>
      </c>
      <c r="O70" s="8">
        <f t="shared" si="2"/>
        <v>1.1611656904522965</v>
      </c>
      <c r="P70" s="20"/>
      <c r="Q70" s="35"/>
      <c r="R70" s="36"/>
      <c r="S70" s="35"/>
      <c r="T70" s="35"/>
      <c r="U70" s="20"/>
      <c r="V70" s="4"/>
    </row>
    <row r="71" spans="1:22" s="3" customFormat="1">
      <c r="A71" s="3">
        <v>31</v>
      </c>
      <c r="B71" s="11">
        <f t="shared" si="12"/>
        <v>13921.341230260785</v>
      </c>
      <c r="C71" s="11">
        <v>1</v>
      </c>
      <c r="D71" s="11">
        <f t="shared" ref="D71" si="28">F71-1-$G$8</f>
        <v>-0.78058284522709132</v>
      </c>
      <c r="E71" s="11">
        <f t="shared" ref="E71" si="29">C71^2-4*B71*D71</f>
        <v>43468.040587576717</v>
      </c>
      <c r="F71" s="8">
        <f t="shared" si="3"/>
        <v>0.21941715477290868</v>
      </c>
      <c r="G71" s="7">
        <f t="shared" si="7"/>
        <v>0.12132167012035308</v>
      </c>
      <c r="H71" s="8">
        <f t="shared" si="8"/>
        <v>0.73984402033257213</v>
      </c>
      <c r="I71" s="2">
        <f t="shared" si="4"/>
        <v>7.6978354246470815E-18</v>
      </c>
      <c r="J71" s="60">
        <f t="shared" si="17"/>
        <v>1.0097107848686517E-3</v>
      </c>
      <c r="K71" s="78">
        <f t="shared" si="9"/>
        <v>7.9573134441279614E-2</v>
      </c>
      <c r="L71" s="2">
        <f t="shared" si="5"/>
        <v>0</v>
      </c>
      <c r="M71" s="2">
        <f t="shared" si="11"/>
        <v>3.1436078632424615E-13</v>
      </c>
      <c r="N71" s="60">
        <f t="shared" si="16"/>
        <v>0</v>
      </c>
      <c r="O71" s="8">
        <f t="shared" si="2"/>
        <v>1.1611656904522965</v>
      </c>
      <c r="P71" s="20"/>
      <c r="Q71" s="35"/>
      <c r="R71" s="36"/>
      <c r="S71" s="35"/>
      <c r="T71" s="35"/>
      <c r="U71" s="20"/>
      <c r="V71" s="4"/>
    </row>
    <row r="72" spans="1:22" s="3" customFormat="1">
      <c r="A72" s="3">
        <v>32</v>
      </c>
      <c r="B72" s="11">
        <f t="shared" si="12"/>
        <v>13921.341230260785</v>
      </c>
      <c r="C72" s="11">
        <v>1</v>
      </c>
      <c r="D72" s="11">
        <f t="shared" ref="D72" si="30">F72-1-$G$8</f>
        <v>-0.78058284522709132</v>
      </c>
      <c r="E72" s="11">
        <f t="shared" ref="E72" si="31">C72^2-4*B72*D72</f>
        <v>43468.040587576717</v>
      </c>
      <c r="F72" s="8">
        <f t="shared" si="3"/>
        <v>0.21941715477290868</v>
      </c>
      <c r="G72" s="7">
        <f t="shared" si="7"/>
        <v>0.12132167012035308</v>
      </c>
      <c r="H72" s="8">
        <f t="shared" si="8"/>
        <v>0.73984402033257213</v>
      </c>
      <c r="I72" s="2">
        <f t="shared" si="4"/>
        <v>7.6978354246470815E-18</v>
      </c>
      <c r="J72" s="60">
        <f t="shared" si="17"/>
        <v>1.0097107848686517E-3</v>
      </c>
      <c r="K72" s="78">
        <f t="shared" si="9"/>
        <v>7.9573134441279614E-2</v>
      </c>
      <c r="L72" s="2">
        <f t="shared" si="5"/>
        <v>0</v>
      </c>
      <c r="M72" s="2">
        <f t="shared" si="11"/>
        <v>3.1436078632424615E-13</v>
      </c>
      <c r="N72" s="60">
        <f t="shared" si="16"/>
        <v>0</v>
      </c>
      <c r="O72" s="8">
        <f t="shared" si="2"/>
        <v>1.1611656904522965</v>
      </c>
      <c r="P72" s="20"/>
      <c r="Q72" s="35"/>
      <c r="R72" s="36"/>
      <c r="S72" s="35"/>
      <c r="T72" s="35"/>
      <c r="U72" s="20"/>
      <c r="V72" s="4"/>
    </row>
    <row r="73" spans="1:22" s="3" customFormat="1">
      <c r="A73" s="3">
        <v>33</v>
      </c>
      <c r="B73" s="11">
        <f t="shared" si="12"/>
        <v>13921.341230260785</v>
      </c>
      <c r="C73" s="11">
        <v>1</v>
      </c>
      <c r="D73" s="11">
        <f t="shared" ref="D73:D75" si="32">F73-1-$G$8</f>
        <v>-0.78058284522709132</v>
      </c>
      <c r="E73" s="11">
        <f t="shared" ref="E73:E75" si="33">C73^2-4*B73*D73</f>
        <v>43468.040587576717</v>
      </c>
      <c r="F73" s="8">
        <f t="shared" si="3"/>
        <v>0.21941715477290868</v>
      </c>
      <c r="G73" s="7">
        <f t="shared" si="7"/>
        <v>0.12132167012035308</v>
      </c>
      <c r="H73" s="8">
        <f t="shared" si="8"/>
        <v>0.73984402033257213</v>
      </c>
      <c r="I73" s="2">
        <f t="shared" si="4"/>
        <v>7.6978354246470815E-18</v>
      </c>
      <c r="J73" s="60">
        <f t="shared" si="17"/>
        <v>1.0097107848686517E-3</v>
      </c>
      <c r="K73" s="78">
        <f t="shared" si="9"/>
        <v>7.9573134441279614E-2</v>
      </c>
      <c r="L73" s="2">
        <f t="shared" si="5"/>
        <v>0</v>
      </c>
      <c r="M73" s="2">
        <f t="shared" si="11"/>
        <v>3.1436078632424615E-13</v>
      </c>
      <c r="N73" s="60">
        <f t="shared" si="16"/>
        <v>0</v>
      </c>
      <c r="O73" s="8">
        <f t="shared" si="2"/>
        <v>1.1611656904522965</v>
      </c>
      <c r="P73" s="20"/>
      <c r="Q73" s="35"/>
      <c r="R73" s="36"/>
      <c r="S73" s="35"/>
      <c r="T73" s="35"/>
      <c r="U73" s="20"/>
      <c r="V73" s="4"/>
    </row>
    <row r="74" spans="1:22" s="3" customFormat="1">
      <c r="A74" s="3">
        <v>34</v>
      </c>
      <c r="B74" s="11">
        <f t="shared" si="12"/>
        <v>13921.341230260785</v>
      </c>
      <c r="C74" s="11">
        <v>1</v>
      </c>
      <c r="D74" s="11">
        <f t="shared" si="32"/>
        <v>-0.78058284522709132</v>
      </c>
      <c r="E74" s="11">
        <f t="shared" si="33"/>
        <v>43468.040587576717</v>
      </c>
      <c r="F74" s="8">
        <f t="shared" si="3"/>
        <v>0.21941715477290868</v>
      </c>
      <c r="G74" s="7">
        <f t="shared" si="7"/>
        <v>0.12132167012035308</v>
      </c>
      <c r="H74" s="8">
        <f t="shared" si="8"/>
        <v>0.73984402033257213</v>
      </c>
      <c r="I74" s="2">
        <f t="shared" si="4"/>
        <v>7.6978354246470815E-18</v>
      </c>
      <c r="J74" s="60">
        <f t="shared" si="17"/>
        <v>1.0097107848686517E-3</v>
      </c>
      <c r="K74" s="78">
        <f t="shared" si="9"/>
        <v>7.9573134441279614E-2</v>
      </c>
      <c r="L74" s="2">
        <f t="shared" si="5"/>
        <v>0</v>
      </c>
      <c r="M74" s="2">
        <f t="shared" si="11"/>
        <v>3.1436078632424615E-13</v>
      </c>
      <c r="N74" s="60">
        <f t="shared" si="16"/>
        <v>0</v>
      </c>
      <c r="O74" s="8">
        <f t="shared" si="2"/>
        <v>1.1611656904522965</v>
      </c>
      <c r="P74" s="20"/>
      <c r="Q74" s="35"/>
      <c r="R74" s="36"/>
      <c r="S74" s="35"/>
      <c r="T74" s="35"/>
      <c r="U74" s="20"/>
      <c r="V74" s="4"/>
    </row>
    <row r="75" spans="1:22" s="3" customFormat="1">
      <c r="A75" s="3">
        <v>35</v>
      </c>
      <c r="B75" s="11">
        <f t="shared" si="12"/>
        <v>13921.341230260785</v>
      </c>
      <c r="C75" s="11">
        <v>1</v>
      </c>
      <c r="D75" s="11">
        <f t="shared" si="32"/>
        <v>-0.78058284522709132</v>
      </c>
      <c r="E75" s="11">
        <f t="shared" si="33"/>
        <v>43468.040587576717</v>
      </c>
      <c r="F75" s="8">
        <f t="shared" si="3"/>
        <v>0.21941715477290868</v>
      </c>
      <c r="G75" s="7">
        <f t="shared" si="7"/>
        <v>0.12132167012035308</v>
      </c>
      <c r="H75" s="8">
        <f t="shared" si="8"/>
        <v>0.73984402033257213</v>
      </c>
      <c r="I75" s="2">
        <f t="shared" si="4"/>
        <v>7.6978354246470815E-18</v>
      </c>
      <c r="J75" s="60">
        <f t="shared" si="17"/>
        <v>1.0097107848686517E-3</v>
      </c>
      <c r="K75" s="78">
        <f t="shared" si="9"/>
        <v>7.9573134441279614E-2</v>
      </c>
      <c r="L75" s="2">
        <f t="shared" si="5"/>
        <v>0</v>
      </c>
      <c r="M75" s="2">
        <f t="shared" si="11"/>
        <v>3.1436078632424615E-13</v>
      </c>
      <c r="N75" s="60">
        <f t="shared" si="16"/>
        <v>0</v>
      </c>
      <c r="O75" s="8">
        <f t="shared" si="2"/>
        <v>1.1611656904522965</v>
      </c>
      <c r="P75" s="20"/>
      <c r="Q75" s="35"/>
      <c r="R75" s="36"/>
      <c r="S75" s="35"/>
      <c r="T75" s="35"/>
      <c r="U75" s="20"/>
      <c r="V75" s="4"/>
    </row>
    <row r="76" spans="1:22" s="3" customFormat="1">
      <c r="A76" s="3">
        <v>36</v>
      </c>
      <c r="B76" s="11">
        <f t="shared" si="12"/>
        <v>13921.341230260785</v>
      </c>
      <c r="C76" s="11">
        <v>1</v>
      </c>
      <c r="D76" s="11">
        <f t="shared" ref="D76:D77" si="34">F76-1-$G$8</f>
        <v>-0.78058284522709132</v>
      </c>
      <c r="E76" s="11">
        <f t="shared" ref="E76:E77" si="35">C76^2-4*B76*D76</f>
        <v>43468.040587576717</v>
      </c>
      <c r="F76" s="8">
        <f t="shared" si="3"/>
        <v>0.21941715477290868</v>
      </c>
      <c r="G76" s="7">
        <f t="shared" si="7"/>
        <v>0.12132167012035308</v>
      </c>
      <c r="H76" s="8">
        <f t="shared" si="8"/>
        <v>0.73984402033257213</v>
      </c>
      <c r="I76" s="2">
        <f t="shared" si="4"/>
        <v>7.6978354246470815E-18</v>
      </c>
      <c r="J76" s="60">
        <f t="shared" si="17"/>
        <v>1.0097107848686517E-3</v>
      </c>
      <c r="K76" s="78">
        <f t="shared" si="9"/>
        <v>7.9573134441279614E-2</v>
      </c>
      <c r="L76" s="2">
        <f t="shared" si="5"/>
        <v>0</v>
      </c>
      <c r="M76" s="2">
        <f t="shared" si="11"/>
        <v>3.1436078632424615E-13</v>
      </c>
      <c r="N76" s="60">
        <f t="shared" si="16"/>
        <v>0</v>
      </c>
      <c r="O76" s="8">
        <f t="shared" si="2"/>
        <v>1.1611656904522965</v>
      </c>
      <c r="P76" s="20"/>
      <c r="Q76" s="35"/>
      <c r="R76" s="36"/>
      <c r="S76" s="35"/>
      <c r="T76" s="35"/>
      <c r="U76" s="20"/>
      <c r="V76" s="4"/>
    </row>
    <row r="77" spans="1:22" s="3" customFormat="1">
      <c r="A77" s="3">
        <v>37</v>
      </c>
      <c r="B77" s="11">
        <f t="shared" si="12"/>
        <v>13921.341230260785</v>
      </c>
      <c r="C77" s="11">
        <v>1</v>
      </c>
      <c r="D77" s="11">
        <f t="shared" si="34"/>
        <v>-0.78058284522709132</v>
      </c>
      <c r="E77" s="11">
        <f t="shared" si="35"/>
        <v>43468.040587576717</v>
      </c>
      <c r="F77" s="8">
        <f t="shared" si="3"/>
        <v>0.21941715477290868</v>
      </c>
      <c r="G77" s="7">
        <f t="shared" si="7"/>
        <v>0.12132167012035308</v>
      </c>
      <c r="H77" s="8">
        <f t="shared" si="8"/>
        <v>0.73984402033257213</v>
      </c>
      <c r="I77" s="79">
        <f t="shared" si="4"/>
        <v>7.6978354246470815E-18</v>
      </c>
      <c r="J77" s="60">
        <f t="shared" si="17"/>
        <v>1.0097107848686517E-3</v>
      </c>
      <c r="K77" s="78">
        <f t="shared" si="9"/>
        <v>7.9573134441279614E-2</v>
      </c>
      <c r="L77" s="2">
        <f t="shared" si="5"/>
        <v>0</v>
      </c>
      <c r="M77" s="2">
        <f t="shared" si="11"/>
        <v>3.1436078632424615E-13</v>
      </c>
      <c r="N77" s="20">
        <f t="shared" si="16"/>
        <v>0</v>
      </c>
      <c r="O77" s="8">
        <f t="shared" si="2"/>
        <v>1.1611656904522965</v>
      </c>
      <c r="P77" s="20"/>
      <c r="Q77" s="35"/>
      <c r="R77" s="36"/>
      <c r="S77" s="35"/>
      <c r="T77" s="35"/>
      <c r="U77" s="20"/>
      <c r="V77" s="4"/>
    </row>
    <row r="78" spans="1:22" s="3" customFormat="1">
      <c r="A78" s="3">
        <v>38</v>
      </c>
      <c r="B78" s="11">
        <f t="shared" si="12"/>
        <v>13921.341230260785</v>
      </c>
      <c r="C78" s="11">
        <v>1</v>
      </c>
      <c r="D78" s="11">
        <f t="shared" ref="D78:D80" si="36">F78-1-$G$8</f>
        <v>-0.78058284522709132</v>
      </c>
      <c r="E78" s="11">
        <f t="shared" ref="E78:E80" si="37">C78^2-4*B78*D78</f>
        <v>43468.040587576717</v>
      </c>
      <c r="F78" s="8">
        <f t="shared" si="3"/>
        <v>0.21941715477290868</v>
      </c>
      <c r="G78" s="7">
        <f t="shared" si="7"/>
        <v>0.12132167012035308</v>
      </c>
      <c r="H78" s="8">
        <f t="shared" si="8"/>
        <v>0.73984402033257213</v>
      </c>
      <c r="I78" s="79">
        <f t="shared" si="4"/>
        <v>7.6978354246470815E-18</v>
      </c>
      <c r="J78" s="60">
        <f t="shared" si="17"/>
        <v>1.0097107848686517E-3</v>
      </c>
      <c r="K78" s="78">
        <f t="shared" si="9"/>
        <v>7.9573134441279614E-2</v>
      </c>
      <c r="L78" s="2">
        <f t="shared" si="5"/>
        <v>0</v>
      </c>
      <c r="M78" s="2">
        <f t="shared" si="11"/>
        <v>3.1436078632424615E-13</v>
      </c>
      <c r="N78" s="20">
        <f t="shared" si="16"/>
        <v>0</v>
      </c>
      <c r="O78" s="8">
        <f t="shared" si="2"/>
        <v>1.1611656904522965</v>
      </c>
      <c r="P78" s="20"/>
      <c r="Q78" s="35"/>
      <c r="R78" s="36"/>
      <c r="S78" s="35"/>
      <c r="T78" s="35"/>
      <c r="U78" s="20"/>
      <c r="V78" s="4"/>
    </row>
    <row r="79" spans="1:22" s="3" customFormat="1">
      <c r="A79" s="3">
        <v>39</v>
      </c>
      <c r="B79" s="11">
        <f t="shared" si="12"/>
        <v>13921.341230260785</v>
      </c>
      <c r="C79" s="11">
        <v>1</v>
      </c>
      <c r="D79" s="11">
        <f t="shared" si="36"/>
        <v>-0.78058284522709132</v>
      </c>
      <c r="E79" s="11">
        <f t="shared" si="37"/>
        <v>43468.040587576717</v>
      </c>
      <c r="F79" s="8">
        <f t="shared" si="3"/>
        <v>0.21941715477290868</v>
      </c>
      <c r="G79" s="7">
        <f t="shared" si="7"/>
        <v>0.12132167012035308</v>
      </c>
      <c r="H79" s="8">
        <f t="shared" si="8"/>
        <v>0.73984402033257213</v>
      </c>
      <c r="I79" s="79">
        <f t="shared" si="4"/>
        <v>7.6978354246470815E-18</v>
      </c>
      <c r="J79" s="60">
        <f t="shared" si="17"/>
        <v>1.0097107848686517E-3</v>
      </c>
      <c r="K79" s="78">
        <f t="shared" si="9"/>
        <v>7.9573134441279614E-2</v>
      </c>
      <c r="L79" s="2">
        <f t="shared" si="5"/>
        <v>0</v>
      </c>
      <c r="M79" s="2">
        <f t="shared" si="11"/>
        <v>3.1436078632424615E-13</v>
      </c>
      <c r="N79" s="20">
        <f t="shared" si="16"/>
        <v>0</v>
      </c>
      <c r="O79" s="8">
        <f t="shared" si="2"/>
        <v>1.1611656904522965</v>
      </c>
      <c r="P79" s="20"/>
      <c r="Q79" s="35"/>
      <c r="R79" s="36"/>
      <c r="S79" s="35"/>
      <c r="T79" s="35"/>
      <c r="U79" s="20"/>
      <c r="V79" s="4"/>
    </row>
    <row r="80" spans="1:22" s="3" customFormat="1">
      <c r="A80" s="3">
        <v>40</v>
      </c>
      <c r="B80" s="11">
        <f t="shared" si="12"/>
        <v>13921.341230260785</v>
      </c>
      <c r="C80" s="11">
        <v>1</v>
      </c>
      <c r="D80" s="11">
        <f t="shared" si="36"/>
        <v>-0.78058284522709132</v>
      </c>
      <c r="E80" s="11">
        <f t="shared" si="37"/>
        <v>43468.040587576717</v>
      </c>
      <c r="F80" s="8">
        <f t="shared" si="3"/>
        <v>0.21941715477290868</v>
      </c>
      <c r="G80" s="7">
        <f t="shared" si="7"/>
        <v>0.12132167012035308</v>
      </c>
      <c r="H80" s="8">
        <f t="shared" si="8"/>
        <v>0.73984402033257213</v>
      </c>
      <c r="I80" s="79">
        <f t="shared" si="4"/>
        <v>7.6978354246470815E-18</v>
      </c>
      <c r="J80" s="60">
        <f t="shared" si="17"/>
        <v>1.0097107848686517E-3</v>
      </c>
      <c r="K80" s="78">
        <f t="shared" si="9"/>
        <v>7.9573134441279614E-2</v>
      </c>
      <c r="L80" s="2">
        <f t="shared" si="5"/>
        <v>0</v>
      </c>
      <c r="M80" s="2">
        <f t="shared" si="11"/>
        <v>3.1436078632424615E-13</v>
      </c>
      <c r="N80" s="20">
        <f t="shared" si="16"/>
        <v>0</v>
      </c>
      <c r="O80" s="8">
        <f t="shared" si="2"/>
        <v>1.1611656904522965</v>
      </c>
      <c r="P80" s="20"/>
      <c r="Q80" s="35"/>
      <c r="R80" s="36"/>
      <c r="S80" s="35"/>
      <c r="T80" s="35"/>
      <c r="U80" s="20"/>
      <c r="V80" s="4"/>
    </row>
    <row r="81" spans="1:60" s="3" customFormat="1">
      <c r="A81" s="3">
        <v>41</v>
      </c>
      <c r="B81" s="11">
        <f t="shared" ref="B81:B85" si="38">$W$25/O80</f>
        <v>13921.341230260785</v>
      </c>
      <c r="C81" s="11">
        <v>1</v>
      </c>
      <c r="D81" s="11">
        <f t="shared" ref="D81:D85" si="39">F81-1-$G$8</f>
        <v>-0.78058284522709132</v>
      </c>
      <c r="E81" s="11">
        <f t="shared" ref="E81:E85" si="40">C81^2-4*B81*D81</f>
        <v>43468.040587576717</v>
      </c>
      <c r="F81" s="8">
        <f t="shared" ref="F81:F85" si="41">IF($G$7&gt;1,0,G81^2/($W$24*O80))</f>
        <v>0.21941715477290868</v>
      </c>
      <c r="G81" s="7">
        <f t="shared" ref="G81:G85" si="42">IF($G$7&gt;1,IF($G$7&gt;2,0,2-2*$G$7),G80-I80/$F$36)</f>
        <v>0.12132167012035308</v>
      </c>
      <c r="H81" s="8">
        <f t="shared" ref="H81:H85" si="43">4*$M$40+2*$F$40+$H$40+$G$40-2*F81-G81-4*M80</f>
        <v>0.73984402033257213</v>
      </c>
      <c r="I81" s="79">
        <f t="shared" ref="I81:I85" si="44">($H$40+2*$I$40+2*$K$40+$J$40-H81-2*K81-J81)/2</f>
        <v>7.6978354246470815E-18</v>
      </c>
      <c r="J81" s="60">
        <f t="shared" ref="J81:J85" si="45">IF(N80=0,($F$40+3*$M$40+$J$40+$K$40-F81-3*M80)/(1+($W$22*H81/G81)),H81/($W$26*G81))</f>
        <v>1.0097107848686517E-3</v>
      </c>
      <c r="K81" s="78">
        <f t="shared" ref="K81:K85" si="46">$W$22*J81*H81/G81</f>
        <v>7.9573134441279614E-2</v>
      </c>
      <c r="L81" s="2">
        <f t="shared" si="5"/>
        <v>0</v>
      </c>
      <c r="M81" s="2">
        <f t="shared" ref="M81:M85" si="47">IF(M80=0,0,(J81^3*G81^7)/($W$31*H81^3*O80^6))</f>
        <v>3.1436078632424615E-13</v>
      </c>
      <c r="N81" s="20">
        <f t="shared" ref="N81:N85" si="48">IF(N80=0,0,$F$40+3*$M$40+$K$40+$J$40-F81-3*M81-J81-K81)</f>
        <v>0</v>
      </c>
      <c r="O81" s="8">
        <f t="shared" ref="O81:O85" si="49">SUM(F81:M81)</f>
        <v>1.1611656904522965</v>
      </c>
      <c r="P81" s="20"/>
      <c r="Q81" s="35"/>
      <c r="R81" s="36"/>
      <c r="S81" s="35"/>
      <c r="T81" s="35"/>
      <c r="U81" s="20"/>
      <c r="V81" s="4"/>
    </row>
    <row r="82" spans="1:60" s="3" customFormat="1">
      <c r="A82" s="3">
        <v>42</v>
      </c>
      <c r="B82" s="11">
        <f t="shared" si="38"/>
        <v>13921.341230260785</v>
      </c>
      <c r="C82" s="11">
        <v>1</v>
      </c>
      <c r="D82" s="11">
        <f t="shared" si="39"/>
        <v>-0.78058284522709132</v>
      </c>
      <c r="E82" s="11">
        <f t="shared" si="40"/>
        <v>43468.040587576717</v>
      </c>
      <c r="F82" s="8">
        <f t="shared" si="41"/>
        <v>0.21941715477290868</v>
      </c>
      <c r="G82" s="7">
        <f t="shared" si="42"/>
        <v>0.12132167012035308</v>
      </c>
      <c r="H82" s="8">
        <f t="shared" si="43"/>
        <v>0.73984402033257213</v>
      </c>
      <c r="I82" s="79">
        <f t="shared" si="44"/>
        <v>7.6978354246470815E-18</v>
      </c>
      <c r="J82" s="60">
        <f t="shared" si="45"/>
        <v>1.0097107848686517E-3</v>
      </c>
      <c r="K82" s="78">
        <f t="shared" si="46"/>
        <v>7.9573134441279614E-2</v>
      </c>
      <c r="L82" s="2">
        <f t="shared" si="5"/>
        <v>0</v>
      </c>
      <c r="M82" s="2">
        <f t="shared" si="47"/>
        <v>3.1436078632424615E-13</v>
      </c>
      <c r="N82" s="20">
        <f t="shared" si="48"/>
        <v>0</v>
      </c>
      <c r="O82" s="8">
        <f t="shared" si="49"/>
        <v>1.1611656904522965</v>
      </c>
      <c r="P82" s="20"/>
      <c r="Q82" s="35"/>
      <c r="R82" s="36"/>
      <c r="S82" s="35"/>
      <c r="T82" s="35"/>
      <c r="U82" s="20"/>
      <c r="V82" s="4"/>
    </row>
    <row r="83" spans="1:60" s="3" customFormat="1">
      <c r="A83" s="3">
        <v>43</v>
      </c>
      <c r="B83" s="11">
        <f t="shared" si="38"/>
        <v>13921.341230260785</v>
      </c>
      <c r="C83" s="11">
        <v>1</v>
      </c>
      <c r="D83" s="11">
        <f t="shared" si="39"/>
        <v>-0.78058284522709132</v>
      </c>
      <c r="E83" s="11">
        <f t="shared" si="40"/>
        <v>43468.040587576717</v>
      </c>
      <c r="F83" s="8">
        <f t="shared" si="41"/>
        <v>0.21941715477290868</v>
      </c>
      <c r="G83" s="7">
        <f t="shared" si="42"/>
        <v>0.12132167012035308</v>
      </c>
      <c r="H83" s="97">
        <f t="shared" si="43"/>
        <v>0.73984402033257213</v>
      </c>
      <c r="I83" s="79">
        <f t="shared" si="44"/>
        <v>7.6978354246470815E-18</v>
      </c>
      <c r="J83" s="60">
        <f t="shared" si="45"/>
        <v>1.0097107848686517E-3</v>
      </c>
      <c r="K83" s="78">
        <f t="shared" si="46"/>
        <v>7.9573134441279614E-2</v>
      </c>
      <c r="L83" s="2">
        <f t="shared" si="5"/>
        <v>0</v>
      </c>
      <c r="M83" s="2">
        <f t="shared" si="47"/>
        <v>3.1436078632424615E-13</v>
      </c>
      <c r="N83" s="20">
        <f t="shared" si="48"/>
        <v>0</v>
      </c>
      <c r="O83" s="8">
        <f t="shared" si="49"/>
        <v>1.1611656904522965</v>
      </c>
      <c r="P83" s="20"/>
      <c r="Q83" s="35"/>
      <c r="R83" s="36"/>
      <c r="S83" s="35"/>
      <c r="T83" s="35"/>
      <c r="U83" s="20"/>
      <c r="V83" s="4"/>
    </row>
    <row r="84" spans="1:60" s="3" customFormat="1">
      <c r="A84" s="3">
        <v>44</v>
      </c>
      <c r="B84" s="11">
        <f t="shared" si="38"/>
        <v>13921.341230260785</v>
      </c>
      <c r="C84" s="11">
        <v>1</v>
      </c>
      <c r="D84" s="11">
        <f t="shared" si="39"/>
        <v>-0.78058284522709132</v>
      </c>
      <c r="E84" s="11">
        <f t="shared" si="40"/>
        <v>43468.040587576717</v>
      </c>
      <c r="F84" s="8">
        <f t="shared" si="41"/>
        <v>0.21941715477290868</v>
      </c>
      <c r="G84" s="7">
        <f t="shared" si="42"/>
        <v>0.12132167012035308</v>
      </c>
      <c r="H84" s="97">
        <f t="shared" si="43"/>
        <v>0.73984402033257213</v>
      </c>
      <c r="I84" s="79">
        <f t="shared" si="44"/>
        <v>7.6978354246470815E-18</v>
      </c>
      <c r="J84" s="60">
        <f t="shared" si="45"/>
        <v>1.0097107848686517E-3</v>
      </c>
      <c r="K84" s="78">
        <f t="shared" si="46"/>
        <v>7.9573134441279614E-2</v>
      </c>
      <c r="L84" s="2">
        <f t="shared" si="5"/>
        <v>0</v>
      </c>
      <c r="M84" s="2">
        <f t="shared" si="47"/>
        <v>3.1436078632424615E-13</v>
      </c>
      <c r="N84" s="20">
        <f t="shared" si="48"/>
        <v>0</v>
      </c>
      <c r="O84" s="8">
        <f t="shared" si="49"/>
        <v>1.1611656904522965</v>
      </c>
      <c r="P84" s="20"/>
      <c r="Q84" s="35"/>
      <c r="R84" s="36"/>
      <c r="S84" s="35"/>
      <c r="T84" s="35"/>
      <c r="U84" s="20"/>
      <c r="V84" s="4"/>
    </row>
    <row r="85" spans="1:60" s="3" customFormat="1">
      <c r="A85" s="3">
        <v>45</v>
      </c>
      <c r="B85" s="11">
        <f t="shared" si="38"/>
        <v>13921.341230260785</v>
      </c>
      <c r="C85" s="11">
        <v>1</v>
      </c>
      <c r="D85" s="11">
        <f t="shared" si="39"/>
        <v>-0.78058284522709132</v>
      </c>
      <c r="E85" s="11">
        <f t="shared" si="40"/>
        <v>43468.040587576717</v>
      </c>
      <c r="F85" s="8">
        <f t="shared" si="41"/>
        <v>0.21941715477290868</v>
      </c>
      <c r="G85" s="7">
        <f t="shared" si="42"/>
        <v>0.12132167012035308</v>
      </c>
      <c r="H85" s="97">
        <f t="shared" si="43"/>
        <v>0.73984402033257213</v>
      </c>
      <c r="I85" s="79">
        <f t="shared" si="44"/>
        <v>7.6978354246470815E-18</v>
      </c>
      <c r="J85" s="60">
        <f t="shared" si="45"/>
        <v>1.0097107848686517E-3</v>
      </c>
      <c r="K85" s="78">
        <f t="shared" si="46"/>
        <v>7.9573134441279614E-2</v>
      </c>
      <c r="L85" s="2">
        <f t="shared" si="5"/>
        <v>0</v>
      </c>
      <c r="M85" s="2">
        <f t="shared" si="47"/>
        <v>3.1436078632424615E-13</v>
      </c>
      <c r="N85" s="20">
        <f t="shared" si="48"/>
        <v>0</v>
      </c>
      <c r="O85" s="8">
        <f t="shared" si="49"/>
        <v>1.1611656904522965</v>
      </c>
      <c r="P85" s="20"/>
      <c r="Q85" s="35"/>
      <c r="R85" s="36"/>
      <c r="S85" s="35"/>
      <c r="T85" s="35"/>
      <c r="U85" s="20"/>
      <c r="V85" s="4"/>
    </row>
    <row r="86" spans="1:60" s="3" customFormat="1">
      <c r="A86" s="3">
        <v>46</v>
      </c>
      <c r="B86" s="11">
        <f t="shared" ref="B86:B90" si="50">$W$25/O85</f>
        <v>13921.341230260785</v>
      </c>
      <c r="C86" s="11">
        <v>1</v>
      </c>
      <c r="D86" s="11">
        <f t="shared" ref="D86:D90" si="51">F86-1-$G$8</f>
        <v>-0.78058284522709132</v>
      </c>
      <c r="E86" s="11">
        <f t="shared" ref="E86:E90" si="52">C86^2-4*B86*D86</f>
        <v>43468.040587576717</v>
      </c>
      <c r="F86" s="8">
        <f t="shared" ref="F86:F90" si="53">IF($G$7&gt;1,0,G86^2/($W$24*O85))</f>
        <v>0.21941715477290868</v>
      </c>
      <c r="G86" s="7">
        <f t="shared" ref="G86:G90" si="54">IF($G$7&gt;1,IF($G$7&gt;2,0,2-2*$G$7),G85-I85/$F$36)</f>
        <v>0.12132167012035308</v>
      </c>
      <c r="H86" s="97">
        <f t="shared" ref="H86:H90" si="55">4*$M$40+2*$F$40+$H$40+$G$40-2*F86-G86-4*M85</f>
        <v>0.73984402033257213</v>
      </c>
      <c r="I86" s="79">
        <f t="shared" ref="I86:I90" si="56">($H$40+2*$I$40+2*$K$40+$J$40-H86-2*K86-J86)/2</f>
        <v>7.6978354246470815E-18</v>
      </c>
      <c r="J86" s="60">
        <f t="shared" ref="J86:J90" si="57">IF(N85=0,($F$40+3*$M$40+$J$40+$K$40-F86-3*M85)/(1+($W$22*H86/G86)),H86/($W$26*G86))</f>
        <v>1.0097107848686517E-3</v>
      </c>
      <c r="K86" s="78">
        <f t="shared" ref="K86:K90" si="58">$W$22*J86*H86/G86</f>
        <v>7.9573134441279614E-2</v>
      </c>
      <c r="L86" s="2">
        <f t="shared" si="5"/>
        <v>0</v>
      </c>
      <c r="M86" s="2">
        <f t="shared" ref="M86:M90" si="59">IF(M85=0,0,(J86^3*G86^7)/($W$31*H86^3*O85^6))</f>
        <v>3.1436078632424615E-13</v>
      </c>
      <c r="N86" s="20">
        <f t="shared" ref="N86:N90" si="60">IF(N85=0,0,$F$40+3*$M$40+$K$40+$J$40-F86-3*M86-J86-K86)</f>
        <v>0</v>
      </c>
      <c r="O86" s="8">
        <f t="shared" ref="O86:O90" si="61">SUM(F86:M86)</f>
        <v>1.1611656904522965</v>
      </c>
      <c r="P86" s="20"/>
      <c r="Q86" s="35"/>
      <c r="R86" s="36"/>
      <c r="S86" s="35"/>
      <c r="T86" s="35"/>
      <c r="U86" s="20"/>
      <c r="V86" s="4"/>
    </row>
    <row r="87" spans="1:60" s="3" customFormat="1">
      <c r="A87" s="3">
        <v>47</v>
      </c>
      <c r="B87" s="11">
        <f t="shared" si="50"/>
        <v>13921.341230260785</v>
      </c>
      <c r="C87" s="11">
        <v>1</v>
      </c>
      <c r="D87" s="11">
        <f t="shared" si="51"/>
        <v>-0.78058284522709132</v>
      </c>
      <c r="E87" s="11">
        <f t="shared" si="52"/>
        <v>43468.040587576717</v>
      </c>
      <c r="F87" s="8">
        <f t="shared" si="53"/>
        <v>0.21941715477290868</v>
      </c>
      <c r="G87" s="7">
        <f t="shared" si="54"/>
        <v>0.12132167012035308</v>
      </c>
      <c r="H87" s="97">
        <f t="shared" si="55"/>
        <v>0.73984402033257213</v>
      </c>
      <c r="I87" s="79">
        <f t="shared" si="56"/>
        <v>7.6978354246470815E-18</v>
      </c>
      <c r="J87" s="60">
        <f t="shared" si="57"/>
        <v>1.0097107848686517E-3</v>
      </c>
      <c r="K87" s="78">
        <f t="shared" si="58"/>
        <v>7.9573134441279614E-2</v>
      </c>
      <c r="L87" s="2">
        <f t="shared" si="5"/>
        <v>0</v>
      </c>
      <c r="M87" s="2">
        <f t="shared" si="59"/>
        <v>3.1436078632424615E-13</v>
      </c>
      <c r="N87" s="20">
        <f t="shared" si="60"/>
        <v>0</v>
      </c>
      <c r="O87" s="8">
        <f t="shared" si="61"/>
        <v>1.1611656904522965</v>
      </c>
      <c r="P87" s="20"/>
      <c r="Q87" s="35"/>
      <c r="R87" s="36"/>
      <c r="S87" s="35"/>
      <c r="T87" s="35"/>
      <c r="U87" s="20"/>
      <c r="V87" s="4"/>
    </row>
    <row r="88" spans="1:60" s="3" customFormat="1">
      <c r="A88" s="3">
        <v>48</v>
      </c>
      <c r="B88" s="11">
        <f t="shared" si="50"/>
        <v>13921.341230260785</v>
      </c>
      <c r="C88" s="11">
        <v>1</v>
      </c>
      <c r="D88" s="11">
        <f t="shared" si="51"/>
        <v>-0.78058284522709132</v>
      </c>
      <c r="E88" s="11">
        <f t="shared" si="52"/>
        <v>43468.040587576717</v>
      </c>
      <c r="F88" s="8">
        <f t="shared" si="53"/>
        <v>0.21941715477290868</v>
      </c>
      <c r="G88" s="7">
        <f t="shared" si="54"/>
        <v>0.12132167012035308</v>
      </c>
      <c r="H88" s="97">
        <f t="shared" si="55"/>
        <v>0.73984402033257213</v>
      </c>
      <c r="I88" s="79">
        <f t="shared" si="56"/>
        <v>7.6978354246470815E-18</v>
      </c>
      <c r="J88" s="60">
        <f t="shared" si="57"/>
        <v>1.0097107848686517E-3</v>
      </c>
      <c r="K88" s="78">
        <f t="shared" si="58"/>
        <v>7.9573134441279614E-2</v>
      </c>
      <c r="L88" s="2">
        <f t="shared" si="5"/>
        <v>0</v>
      </c>
      <c r="M88" s="2">
        <f t="shared" si="59"/>
        <v>3.1436078632424615E-13</v>
      </c>
      <c r="N88" s="20">
        <f t="shared" si="60"/>
        <v>0</v>
      </c>
      <c r="O88" s="8">
        <f t="shared" si="61"/>
        <v>1.1611656904522965</v>
      </c>
      <c r="P88" s="20"/>
      <c r="Q88" s="35"/>
      <c r="R88" s="36"/>
      <c r="S88" s="35"/>
      <c r="T88" s="35"/>
      <c r="U88" s="20"/>
      <c r="V88" s="4"/>
    </row>
    <row r="89" spans="1:60" s="3" customFormat="1">
      <c r="A89" s="3">
        <v>49</v>
      </c>
      <c r="B89" s="11">
        <f t="shared" si="50"/>
        <v>13921.341230260785</v>
      </c>
      <c r="C89" s="11">
        <v>1</v>
      </c>
      <c r="D89" s="11">
        <f t="shared" si="51"/>
        <v>-0.78058284522709132</v>
      </c>
      <c r="E89" s="11">
        <f t="shared" si="52"/>
        <v>43468.040587576717</v>
      </c>
      <c r="F89" s="8">
        <f t="shared" si="53"/>
        <v>0.21941715477290868</v>
      </c>
      <c r="G89" s="7">
        <f t="shared" si="54"/>
        <v>0.12132167012035308</v>
      </c>
      <c r="H89" s="97">
        <f t="shared" si="55"/>
        <v>0.73984402033257213</v>
      </c>
      <c r="I89" s="79">
        <f t="shared" si="56"/>
        <v>7.6978354246470815E-18</v>
      </c>
      <c r="J89" s="60">
        <f t="shared" si="57"/>
        <v>1.0097107848686517E-3</v>
      </c>
      <c r="K89" s="78">
        <f t="shared" si="58"/>
        <v>7.9573134441279614E-2</v>
      </c>
      <c r="L89" s="2">
        <f t="shared" si="5"/>
        <v>0</v>
      </c>
      <c r="M89" s="2">
        <f t="shared" si="59"/>
        <v>3.1436078632424615E-13</v>
      </c>
      <c r="N89" s="20">
        <f t="shared" si="60"/>
        <v>0</v>
      </c>
      <c r="O89" s="8">
        <f t="shared" si="61"/>
        <v>1.1611656904522965</v>
      </c>
      <c r="P89" s="20"/>
      <c r="Q89" s="35"/>
      <c r="R89" s="36"/>
      <c r="S89" s="35"/>
      <c r="T89" s="35"/>
      <c r="U89" s="20"/>
      <c r="V89" s="4"/>
    </row>
    <row r="90" spans="1:60" s="3" customFormat="1">
      <c r="A90" s="3">
        <v>50</v>
      </c>
      <c r="B90" s="11">
        <f t="shared" si="50"/>
        <v>13921.341230260785</v>
      </c>
      <c r="C90" s="11">
        <v>1</v>
      </c>
      <c r="D90" s="11">
        <f t="shared" si="51"/>
        <v>-0.78058284522709132</v>
      </c>
      <c r="E90" s="11">
        <f t="shared" si="52"/>
        <v>43468.040587576717</v>
      </c>
      <c r="F90" s="8">
        <f t="shared" si="53"/>
        <v>0.21941715477290868</v>
      </c>
      <c r="G90" s="7">
        <f t="shared" si="54"/>
        <v>0.12132167012035308</v>
      </c>
      <c r="H90" s="97">
        <f t="shared" si="55"/>
        <v>0.73984402033257213</v>
      </c>
      <c r="I90" s="79">
        <f t="shared" si="56"/>
        <v>7.6978354246470815E-18</v>
      </c>
      <c r="J90" s="60">
        <f t="shared" si="57"/>
        <v>1.0097107848686517E-3</v>
      </c>
      <c r="K90" s="78">
        <f t="shared" si="58"/>
        <v>7.9573134441279614E-2</v>
      </c>
      <c r="L90" s="2">
        <f t="shared" si="5"/>
        <v>0</v>
      </c>
      <c r="M90" s="2">
        <f t="shared" si="59"/>
        <v>3.1436078632424615E-13</v>
      </c>
      <c r="N90" s="20">
        <f t="shared" si="60"/>
        <v>0</v>
      </c>
      <c r="O90" s="8">
        <f t="shared" si="61"/>
        <v>1.1611656904522965</v>
      </c>
      <c r="P90" s="20"/>
      <c r="Q90" s="35"/>
      <c r="R90" s="36"/>
      <c r="S90" s="35"/>
      <c r="T90" s="35"/>
      <c r="U90" s="20"/>
      <c r="V90" s="4"/>
    </row>
    <row r="91" spans="1:60" s="3" customFormat="1">
      <c r="F91" s="35"/>
      <c r="G91" s="35"/>
      <c r="H91" s="35"/>
      <c r="J91" s="35"/>
      <c r="K91" s="35"/>
      <c r="M91" s="35"/>
      <c r="N91" s="4"/>
      <c r="O91" s="35"/>
      <c r="P91" s="20"/>
      <c r="Q91" s="35"/>
      <c r="R91" s="36"/>
      <c r="S91" s="35"/>
      <c r="T91" s="35"/>
      <c r="U91" s="20"/>
      <c r="V91" s="4"/>
    </row>
    <row r="92" spans="1:60" s="3" customFormat="1">
      <c r="F92" s="35"/>
      <c r="G92" s="35"/>
      <c r="H92" s="35"/>
      <c r="J92" s="35"/>
      <c r="K92" s="35"/>
      <c r="M92" s="35"/>
      <c r="N92" s="4"/>
      <c r="O92" s="35"/>
      <c r="P92" s="20"/>
      <c r="Q92" s="35"/>
      <c r="R92" s="36"/>
      <c r="S92" s="35"/>
      <c r="T92" s="35"/>
      <c r="U92" s="20"/>
      <c r="V92" s="4"/>
    </row>
    <row r="93" spans="1:60" s="3" customFormat="1">
      <c r="F93" s="35"/>
      <c r="G93" s="35"/>
      <c r="H93" s="35"/>
      <c r="J93" s="35"/>
      <c r="K93" s="35"/>
      <c r="M93" s="35"/>
      <c r="N93" s="4"/>
      <c r="O93" s="35"/>
      <c r="P93" s="20"/>
      <c r="Q93" s="35"/>
      <c r="R93" s="36"/>
      <c r="S93" s="35"/>
      <c r="T93" s="35"/>
      <c r="U93" s="20"/>
      <c r="V93" s="4"/>
    </row>
    <row r="94" spans="1:60" s="3" customFormat="1" ht="18">
      <c r="D94" s="12" t="s">
        <v>160</v>
      </c>
      <c r="F94" s="35"/>
      <c r="G94" s="35"/>
      <c r="H94" s="35"/>
      <c r="J94" s="35"/>
      <c r="K94" s="35"/>
      <c r="M94" s="35"/>
      <c r="N94" s="4"/>
      <c r="O94" s="35"/>
      <c r="P94" s="20"/>
      <c r="Q94" s="35"/>
      <c r="R94" s="36"/>
      <c r="S94" s="35"/>
      <c r="T94" s="35"/>
      <c r="U94" s="20"/>
      <c r="V94" s="4"/>
    </row>
    <row r="95" spans="1:60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</row>
    <row r="96" spans="1:60" s="83" customFormat="1" ht="46.8">
      <c r="A96" s="80"/>
      <c r="B96" s="84" t="s">
        <v>168</v>
      </c>
      <c r="C96" s="80" t="s">
        <v>48</v>
      </c>
      <c r="D96" s="80" t="s">
        <v>62</v>
      </c>
      <c r="E96" s="80" t="s">
        <v>49</v>
      </c>
      <c r="F96" s="80" t="s">
        <v>50</v>
      </c>
      <c r="G96" s="80" t="s">
        <v>78</v>
      </c>
      <c r="H96" s="80" t="s">
        <v>51</v>
      </c>
      <c r="I96" s="80" t="s">
        <v>81</v>
      </c>
      <c r="J96" s="86" t="s">
        <v>161</v>
      </c>
      <c r="K96" s="87"/>
      <c r="L96" s="81"/>
      <c r="M96" s="81"/>
      <c r="N96" s="82"/>
      <c r="O96" s="82"/>
      <c r="P96" s="82"/>
      <c r="Q96" s="82"/>
      <c r="R96" s="82"/>
      <c r="S96" s="82"/>
      <c r="T96" s="82"/>
      <c r="U96" s="82"/>
      <c r="V96" s="82"/>
      <c r="W96" s="82"/>
      <c r="X96" s="82"/>
      <c r="Y96" s="82"/>
      <c r="Z96" s="82"/>
      <c r="AA96" s="82"/>
      <c r="AB96" s="82"/>
      <c r="AC96" s="82"/>
      <c r="AD96" s="82"/>
      <c r="AE96" s="82"/>
      <c r="AF96" s="82"/>
      <c r="AG96" s="82"/>
      <c r="AH96" s="82"/>
      <c r="AI96" s="82"/>
      <c r="AJ96" s="82"/>
      <c r="AK96" s="82"/>
      <c r="AL96" s="82"/>
      <c r="AM96" s="82"/>
      <c r="AN96" s="82"/>
      <c r="AO96" s="82"/>
      <c r="AP96" s="82"/>
      <c r="AQ96" s="82"/>
      <c r="AR96" s="82"/>
      <c r="AS96" s="82"/>
      <c r="AT96" s="82"/>
      <c r="AU96" s="82"/>
      <c r="AV96" s="82"/>
      <c r="AW96" s="82"/>
      <c r="AX96" s="82"/>
      <c r="AY96" s="82"/>
      <c r="AZ96" s="82"/>
      <c r="BA96" s="82"/>
      <c r="BB96" s="82"/>
      <c r="BC96" s="82"/>
      <c r="BD96" s="82"/>
      <c r="BE96" s="82"/>
      <c r="BF96" s="82"/>
      <c r="BG96" s="82"/>
      <c r="BH96" s="82"/>
    </row>
    <row r="97" spans="1:60">
      <c r="A97" s="3"/>
      <c r="B97" s="4"/>
      <c r="C97" s="3" t="s">
        <v>53</v>
      </c>
      <c r="D97" s="2">
        <f>C9</f>
        <v>0</v>
      </c>
      <c r="E97" s="2">
        <f>D97*44</f>
        <v>0</v>
      </c>
      <c r="F97" s="2">
        <f>E97*100/$E$106</f>
        <v>0</v>
      </c>
      <c r="G97" s="2">
        <f>D97/$D$106</f>
        <v>0</v>
      </c>
      <c r="H97" s="6">
        <f>D97/($D$106-$D$103)</f>
        <v>0</v>
      </c>
      <c r="I97" s="6">
        <f t="shared" ref="I97:I105" si="62">H97*$K$8</f>
        <v>0</v>
      </c>
      <c r="J97" s="85" t="s">
        <v>162</v>
      </c>
      <c r="K97" s="88">
        <f>G6</f>
        <v>2.9999999999999996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</row>
    <row r="98" spans="1:60">
      <c r="A98" s="3"/>
      <c r="B98" s="4"/>
      <c r="C98" s="3" t="s">
        <v>55</v>
      </c>
      <c r="D98" s="2">
        <f>C10</f>
        <v>0</v>
      </c>
      <c r="E98" s="2">
        <f>D98*28</f>
        <v>0</v>
      </c>
      <c r="F98" s="2">
        <f t="shared" ref="F98:F105" si="63">E98*100/$E$106</f>
        <v>0</v>
      </c>
      <c r="G98" s="2">
        <f t="shared" ref="G98:G105" si="64">D98/$D$106</f>
        <v>0</v>
      </c>
      <c r="H98" s="6">
        <f t="shared" ref="H98:H102" si="65">D98/($D$106-$D$103)</f>
        <v>0</v>
      </c>
      <c r="I98" s="6">
        <f t="shared" si="62"/>
        <v>0</v>
      </c>
      <c r="J98" s="85" t="s">
        <v>163</v>
      </c>
      <c r="K98" s="88">
        <f>G7</f>
        <v>0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</row>
    <row r="99" spans="1:60">
      <c r="A99" s="4"/>
      <c r="B99" s="3"/>
      <c r="C99" s="3" t="s">
        <v>57</v>
      </c>
      <c r="D99" s="2">
        <f>C8</f>
        <v>0.9</v>
      </c>
      <c r="E99" s="2">
        <f>D99*18</f>
        <v>16.2</v>
      </c>
      <c r="F99" s="2">
        <f t="shared" si="63"/>
        <v>78.640776699029118</v>
      </c>
      <c r="G99" s="2">
        <f t="shared" si="64"/>
        <v>0.9</v>
      </c>
      <c r="H99" s="6">
        <f t="shared" si="65"/>
        <v>0.9</v>
      </c>
      <c r="I99" s="6">
        <f>H99*$K$8</f>
        <v>0.9</v>
      </c>
      <c r="J99" s="85" t="s">
        <v>128</v>
      </c>
      <c r="K99" s="88">
        <f>G8</f>
        <v>0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</row>
    <row r="100" spans="1:60">
      <c r="A100" s="3"/>
      <c r="B100" s="3"/>
      <c r="C100" s="3" t="s">
        <v>59</v>
      </c>
      <c r="D100" s="2">
        <f>C13</f>
        <v>0</v>
      </c>
      <c r="E100" s="2">
        <f>D100*2</f>
        <v>0</v>
      </c>
      <c r="F100" s="2">
        <f t="shared" si="63"/>
        <v>0</v>
      </c>
      <c r="G100" s="2">
        <f t="shared" si="64"/>
        <v>0</v>
      </c>
      <c r="H100" s="6">
        <f t="shared" si="65"/>
        <v>0</v>
      </c>
      <c r="I100" s="6">
        <f t="shared" si="62"/>
        <v>0</v>
      </c>
      <c r="J100" s="85" t="s">
        <v>164</v>
      </c>
      <c r="K100" s="88">
        <f>G9</f>
        <v>2.9999999999999996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</row>
    <row r="101" spans="1:60">
      <c r="A101" s="3"/>
      <c r="B101" s="3"/>
      <c r="C101" s="3" t="s">
        <v>13</v>
      </c>
      <c r="D101" s="2">
        <f>C6</f>
        <v>0</v>
      </c>
      <c r="E101" s="2">
        <f>D101*16</f>
        <v>0</v>
      </c>
      <c r="F101" s="2">
        <f t="shared" si="63"/>
        <v>0</v>
      </c>
      <c r="G101" s="2">
        <f t="shared" si="64"/>
        <v>0</v>
      </c>
      <c r="H101" s="6">
        <f t="shared" si="65"/>
        <v>0</v>
      </c>
      <c r="I101" s="6">
        <f t="shared" si="62"/>
        <v>0</v>
      </c>
      <c r="J101" s="85" t="s">
        <v>165</v>
      </c>
      <c r="K101" s="88">
        <f>G10</f>
        <v>2.9999999999999996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</row>
    <row r="102" spans="1:60">
      <c r="A102" s="3"/>
      <c r="B102" s="3"/>
      <c r="C102" s="3" t="s">
        <v>93</v>
      </c>
      <c r="D102" s="2">
        <f>C7</f>
        <v>0.1</v>
      </c>
      <c r="E102" s="2">
        <f>D102*44</f>
        <v>4.4000000000000004</v>
      </c>
      <c r="F102" s="2">
        <f t="shared" si="63"/>
        <v>21.359223300970875</v>
      </c>
      <c r="G102" s="2">
        <f t="shared" si="64"/>
        <v>0.1</v>
      </c>
      <c r="H102" s="6">
        <f t="shared" si="65"/>
        <v>0.1</v>
      </c>
      <c r="I102" s="6">
        <f t="shared" si="62"/>
        <v>0.1</v>
      </c>
      <c r="J102" s="85"/>
      <c r="K102" s="89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</row>
    <row r="103" spans="1:60">
      <c r="A103" s="3"/>
      <c r="B103" s="3"/>
      <c r="C103" s="9" t="s">
        <v>159</v>
      </c>
      <c r="D103" s="4">
        <v>0</v>
      </c>
      <c r="E103" s="2">
        <f>D103*12</f>
        <v>0</v>
      </c>
      <c r="F103" s="2">
        <f t="shared" si="63"/>
        <v>0</v>
      </c>
      <c r="G103" s="2">
        <f t="shared" si="64"/>
        <v>0</v>
      </c>
      <c r="H103" s="4">
        <v>0</v>
      </c>
      <c r="I103" s="4">
        <v>0</v>
      </c>
      <c r="J103" s="85" t="s">
        <v>2</v>
      </c>
      <c r="K103" s="88">
        <f>K6</f>
        <v>400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</row>
    <row r="104" spans="1:60">
      <c r="A104" s="3"/>
      <c r="B104" s="3"/>
      <c r="C104" s="3" t="s">
        <v>5</v>
      </c>
      <c r="D104" s="2">
        <f>C11</f>
        <v>0</v>
      </c>
      <c r="E104" s="2">
        <f>D104*32</f>
        <v>0</v>
      </c>
      <c r="F104" s="2">
        <f t="shared" si="63"/>
        <v>0</v>
      </c>
      <c r="G104" s="2">
        <f t="shared" si="64"/>
        <v>0</v>
      </c>
      <c r="H104" s="6">
        <f t="shared" ref="H104:H105" si="66">D104/($D$106-$D$103)</f>
        <v>0</v>
      </c>
      <c r="I104" s="6">
        <f t="shared" si="62"/>
        <v>0</v>
      </c>
      <c r="J104" s="3" t="s">
        <v>61</v>
      </c>
      <c r="K104" s="88">
        <f>K8</f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</row>
    <row r="105" spans="1:60">
      <c r="A105" s="3"/>
      <c r="B105" s="3"/>
      <c r="C105" s="3" t="s">
        <v>4</v>
      </c>
      <c r="D105" s="2">
        <f>C12</f>
        <v>0</v>
      </c>
      <c r="E105" s="2">
        <f>D105*28</f>
        <v>0</v>
      </c>
      <c r="F105" s="2">
        <f t="shared" si="63"/>
        <v>0</v>
      </c>
      <c r="G105" s="2">
        <f t="shared" si="64"/>
        <v>0</v>
      </c>
      <c r="H105" s="6">
        <f t="shared" si="66"/>
        <v>0</v>
      </c>
      <c r="I105" s="6">
        <f t="shared" si="62"/>
        <v>0</v>
      </c>
      <c r="J105" s="26"/>
      <c r="K105" s="90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</row>
    <row r="106" spans="1:60" ht="16.2" thickBot="1">
      <c r="A106" s="54"/>
      <c r="B106" s="57" t="s">
        <v>169</v>
      </c>
      <c r="C106" s="54"/>
      <c r="D106" s="55">
        <f>SUM(D97:D105)</f>
        <v>1</v>
      </c>
      <c r="E106" s="55">
        <f>SUM(E97:E105)</f>
        <v>20.6</v>
      </c>
      <c r="F106" s="55">
        <f>SUM(F97:F105)</f>
        <v>100</v>
      </c>
      <c r="G106" s="55">
        <f>SUM(G97:G105)</f>
        <v>1</v>
      </c>
      <c r="H106" s="55">
        <f>SUM(H97:H105)</f>
        <v>1</v>
      </c>
      <c r="I106" s="55">
        <f t="shared" ref="I106" si="67">SUM(I97:I105)</f>
        <v>1</v>
      </c>
      <c r="J106" s="85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</row>
    <row r="107" spans="1:60">
      <c r="A107" s="3"/>
      <c r="B107" s="3"/>
      <c r="C107" s="3"/>
      <c r="D107" s="4"/>
      <c r="E107" s="4"/>
      <c r="F107" s="4"/>
      <c r="G107" s="4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</row>
    <row r="108" spans="1:60">
      <c r="A108" s="3"/>
      <c r="B108" s="3"/>
      <c r="C108" s="3"/>
      <c r="D108" s="4"/>
      <c r="E108" s="4"/>
      <c r="F108" s="4"/>
      <c r="G108" s="4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</row>
    <row r="109" spans="1:60" ht="18">
      <c r="A109" s="3"/>
      <c r="B109" s="3"/>
      <c r="C109" s="3"/>
      <c r="D109" s="12" t="s">
        <v>170</v>
      </c>
      <c r="E109" s="4"/>
      <c r="F109" s="4"/>
      <c r="G109" s="4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</row>
    <row r="110" spans="1:60" ht="16.05" customHeight="1">
      <c r="A110" s="9"/>
      <c r="B110" s="9"/>
      <c r="C110" s="9"/>
      <c r="D110" s="9"/>
      <c r="E110" s="9"/>
      <c r="F110" s="9"/>
      <c r="G110" s="9"/>
      <c r="H110" s="9"/>
      <c r="I110" s="9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</row>
    <row r="111" spans="1:60" s="83" customFormat="1" ht="51" customHeight="1">
      <c r="A111" s="80"/>
      <c r="B111" s="80" t="s">
        <v>157</v>
      </c>
      <c r="C111" s="80" t="s">
        <v>48</v>
      </c>
      <c r="D111" s="80" t="s">
        <v>62</v>
      </c>
      <c r="E111" s="80" t="s">
        <v>49</v>
      </c>
      <c r="F111" s="80" t="s">
        <v>50</v>
      </c>
      <c r="G111" s="80" t="s">
        <v>78</v>
      </c>
      <c r="H111" s="80" t="s">
        <v>166</v>
      </c>
      <c r="I111" s="87" t="s">
        <v>167</v>
      </c>
      <c r="J111" s="82"/>
      <c r="K111" s="81"/>
      <c r="L111" s="81"/>
      <c r="M111" s="81"/>
      <c r="N111" s="81"/>
      <c r="O111" s="81"/>
      <c r="P111" s="81"/>
      <c r="Q111" s="81"/>
      <c r="R111" s="81"/>
      <c r="S111" s="81"/>
      <c r="T111" s="82"/>
      <c r="U111" s="82"/>
      <c r="V111" s="82"/>
      <c r="W111" s="82"/>
      <c r="X111" s="82"/>
      <c r="Y111" s="82"/>
      <c r="Z111" s="82"/>
      <c r="AA111" s="82"/>
      <c r="AB111" s="82"/>
      <c r="AC111" s="82"/>
      <c r="AD111" s="82"/>
      <c r="AE111" s="82"/>
      <c r="AF111" s="82"/>
      <c r="AG111" s="82"/>
      <c r="AH111" s="82"/>
      <c r="AI111" s="82"/>
      <c r="AJ111" s="82"/>
      <c r="AK111" s="82"/>
      <c r="AL111" s="82"/>
      <c r="AM111" s="82"/>
      <c r="AN111" s="82"/>
      <c r="AO111" s="82"/>
      <c r="AP111" s="82"/>
      <c r="AQ111" s="82"/>
      <c r="AR111" s="82"/>
      <c r="AS111" s="82"/>
      <c r="AT111" s="82"/>
      <c r="AU111" s="82"/>
      <c r="AV111" s="82"/>
      <c r="AW111" s="82"/>
      <c r="AX111" s="82"/>
      <c r="AY111" s="82"/>
      <c r="AZ111" s="82"/>
      <c r="BA111" s="82"/>
      <c r="BB111" s="82"/>
      <c r="BC111" s="82"/>
      <c r="BD111" s="82"/>
      <c r="BE111" s="82"/>
      <c r="BF111" s="82"/>
      <c r="BG111" s="82"/>
      <c r="BH111" s="82"/>
    </row>
    <row r="112" spans="1:60">
      <c r="A112" s="3"/>
      <c r="B112" s="3" t="s">
        <v>52</v>
      </c>
      <c r="C112" s="3" t="s">
        <v>53</v>
      </c>
      <c r="D112" s="6">
        <f>K90</f>
        <v>7.9573134441279614E-2</v>
      </c>
      <c r="E112" s="2">
        <f>D112*44</f>
        <v>3.5012179154163032</v>
      </c>
      <c r="F112" s="2">
        <f t="shared" ref="F112:F117" si="68">E112*100/$E$121</f>
        <v>16.996203472894674</v>
      </c>
      <c r="G112" s="2">
        <f t="shared" ref="G112:G120" si="69">D112/$D$121</f>
        <v>6.8528664854267549E-2</v>
      </c>
      <c r="H112" s="6">
        <f t="shared" ref="H112:H117" si="70">D112/($D$121-$D$118)</f>
        <v>6.8528664854267549E-2</v>
      </c>
      <c r="I112" s="91">
        <f t="shared" ref="I112:I120" si="71">H112*$K$8</f>
        <v>6.8528664854267549E-2</v>
      </c>
      <c r="J112" s="3"/>
      <c r="K112" s="3"/>
      <c r="L112" s="3"/>
      <c r="M112" s="3"/>
      <c r="N112" s="35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</row>
    <row r="113" spans="1:35">
      <c r="A113" s="3"/>
      <c r="B113" s="3" t="s">
        <v>54</v>
      </c>
      <c r="C113" s="3" t="s">
        <v>55</v>
      </c>
      <c r="D113" s="6">
        <f>J90</f>
        <v>1.0097107848686517E-3</v>
      </c>
      <c r="E113" s="2">
        <f>D113*28</f>
        <v>2.8271901976322247E-2</v>
      </c>
      <c r="F113" s="2">
        <f t="shared" si="68"/>
        <v>0.13724224260350604</v>
      </c>
      <c r="G113" s="2">
        <f t="shared" si="69"/>
        <v>8.6956649957109023E-4</v>
      </c>
      <c r="H113" s="6">
        <f t="shared" si="70"/>
        <v>8.6956649957109023E-4</v>
      </c>
      <c r="I113" s="91">
        <f t="shared" si="71"/>
        <v>8.6956649957109023E-4</v>
      </c>
      <c r="J113" s="3"/>
      <c r="K113" s="3"/>
      <c r="L113" s="3"/>
      <c r="M113" s="3"/>
      <c r="N113" s="35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</row>
    <row r="114" spans="1:35">
      <c r="A114" s="3"/>
      <c r="B114" s="3" t="s">
        <v>56</v>
      </c>
      <c r="C114" s="3" t="s">
        <v>57</v>
      </c>
      <c r="D114" s="6">
        <f>H90</f>
        <v>0.73984402033257213</v>
      </c>
      <c r="E114" s="2">
        <f>D114*18</f>
        <v>13.317192365986298</v>
      </c>
      <c r="F114" s="2">
        <f t="shared" si="68"/>
        <v>64.646564883428624</v>
      </c>
      <c r="G114" s="2">
        <f t="shared" si="69"/>
        <v>0.6371562873549842</v>
      </c>
      <c r="H114" s="6">
        <f t="shared" si="70"/>
        <v>0.6371562873549842</v>
      </c>
      <c r="I114" s="91">
        <f t="shared" si="71"/>
        <v>0.6371562873549842</v>
      </c>
      <c r="J114" s="3"/>
      <c r="K114" s="3"/>
      <c r="L114" s="3"/>
      <c r="M114" s="3"/>
      <c r="N114" s="35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</row>
    <row r="115" spans="1:35">
      <c r="A115" s="3"/>
      <c r="B115" s="3" t="s">
        <v>58</v>
      </c>
      <c r="C115" s="3" t="s">
        <v>59</v>
      </c>
      <c r="D115" s="6">
        <f>G90</f>
        <v>0.12132167012035308</v>
      </c>
      <c r="E115" s="2">
        <f>D115*2</f>
        <v>0.24264334024070616</v>
      </c>
      <c r="F115" s="2">
        <f t="shared" si="68"/>
        <v>1.1778802924306124</v>
      </c>
      <c r="G115" s="2">
        <f t="shared" si="69"/>
        <v>0.10448265145786036</v>
      </c>
      <c r="H115" s="6">
        <f t="shared" si="70"/>
        <v>0.10448265145786036</v>
      </c>
      <c r="I115" s="91">
        <f t="shared" si="71"/>
        <v>0.10448265145786036</v>
      </c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</row>
    <row r="116" spans="1:35">
      <c r="A116" s="3"/>
      <c r="B116" s="3" t="s">
        <v>60</v>
      </c>
      <c r="C116" s="3" t="s">
        <v>13</v>
      </c>
      <c r="D116" s="6">
        <f>F90</f>
        <v>0.21941715477290868</v>
      </c>
      <c r="E116" s="2">
        <f>D116*16</f>
        <v>3.510674476366539</v>
      </c>
      <c r="F116" s="2">
        <f t="shared" si="68"/>
        <v>17.042109108575431</v>
      </c>
      <c r="G116" s="2">
        <f t="shared" si="69"/>
        <v>0.18896282983304599</v>
      </c>
      <c r="H116" s="6">
        <f t="shared" si="70"/>
        <v>0.18896282983304599</v>
      </c>
      <c r="I116" s="91">
        <f t="shared" si="71"/>
        <v>0.18896282983304599</v>
      </c>
      <c r="J116" s="3"/>
      <c r="K116" s="3"/>
      <c r="L116" s="3"/>
      <c r="M116" s="3"/>
      <c r="N116" s="35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</row>
    <row r="117" spans="1:35">
      <c r="A117" s="3"/>
      <c r="B117" s="3" t="s">
        <v>158</v>
      </c>
      <c r="C117" s="3" t="s">
        <v>93</v>
      </c>
      <c r="D117" s="6">
        <f>M90</f>
        <v>3.1436078632424615E-13</v>
      </c>
      <c r="E117" s="2">
        <f>D117*44</f>
        <v>1.3831874598266831E-11</v>
      </c>
      <c r="F117" s="2">
        <f t="shared" si="68"/>
        <v>6.7145022321683643E-11</v>
      </c>
      <c r="G117" s="2">
        <f t="shared" si="69"/>
        <v>2.7072862116843676E-13</v>
      </c>
      <c r="H117" s="6">
        <f t="shared" si="70"/>
        <v>2.7072862116843676E-13</v>
      </c>
      <c r="I117" s="91">
        <f t="shared" si="71"/>
        <v>2.7072862116843676E-13</v>
      </c>
      <c r="J117" s="3"/>
      <c r="K117" s="3"/>
      <c r="L117" s="3"/>
      <c r="M117" s="3"/>
      <c r="N117" s="35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</row>
    <row r="118" spans="1:35">
      <c r="A118" s="3"/>
      <c r="B118" s="3"/>
      <c r="C118" s="3" t="s">
        <v>159</v>
      </c>
      <c r="D118" s="6">
        <f>N90</f>
        <v>0</v>
      </c>
      <c r="E118" s="2">
        <f>D118*12</f>
        <v>0</v>
      </c>
      <c r="F118" s="2">
        <f t="shared" ref="F118" si="72">E118*100/$E$121</f>
        <v>0</v>
      </c>
      <c r="G118" s="2">
        <f t="shared" si="69"/>
        <v>0</v>
      </c>
      <c r="H118" s="4">
        <v>0</v>
      </c>
      <c r="I118" s="92">
        <v>0</v>
      </c>
      <c r="J118" s="3"/>
      <c r="K118" s="3"/>
      <c r="L118" s="3"/>
      <c r="M118" s="3"/>
      <c r="N118" s="35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</row>
    <row r="119" spans="1:35">
      <c r="A119" s="3"/>
      <c r="B119" s="3"/>
      <c r="C119" s="3" t="s">
        <v>5</v>
      </c>
      <c r="D119" s="6">
        <f>I90</f>
        <v>7.6978354246470815E-18</v>
      </c>
      <c r="E119" s="2">
        <f>D119*32</f>
        <v>2.4633073358870661E-16</v>
      </c>
      <c r="F119" s="2">
        <f>E119*100/$E$121</f>
        <v>1.1957802601393523E-15</v>
      </c>
      <c r="G119" s="2">
        <f t="shared" si="69"/>
        <v>6.6294030972002148E-18</v>
      </c>
      <c r="H119" s="6">
        <f>D119/($D$121-$D$118)</f>
        <v>6.6294030972002148E-18</v>
      </c>
      <c r="I119" s="91">
        <f t="shared" si="71"/>
        <v>6.6294030972002148E-18</v>
      </c>
      <c r="J119" s="3"/>
      <c r="K119" s="3"/>
      <c r="L119" s="3"/>
      <c r="M119" s="3"/>
      <c r="N119" s="35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</row>
    <row r="120" spans="1:35">
      <c r="A120" s="3"/>
      <c r="B120" s="3"/>
      <c r="C120" s="3" t="s">
        <v>4</v>
      </c>
      <c r="D120" s="6">
        <f>L90</f>
        <v>0</v>
      </c>
      <c r="E120" s="2">
        <f>D120*28</f>
        <v>0</v>
      </c>
      <c r="F120" s="2">
        <f>E120*100/$E$121</f>
        <v>0</v>
      </c>
      <c r="G120" s="2">
        <f t="shared" si="69"/>
        <v>0</v>
      </c>
      <c r="H120" s="6">
        <f>D120/($D$121-$D$118)</f>
        <v>0</v>
      </c>
      <c r="I120" s="91">
        <f t="shared" si="71"/>
        <v>0</v>
      </c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</row>
    <row r="121" spans="1:35" ht="16.2" thickBot="1">
      <c r="A121" s="54"/>
      <c r="B121" s="57" t="s">
        <v>63</v>
      </c>
      <c r="C121" s="54"/>
      <c r="D121" s="55">
        <f t="shared" ref="D121:I121" si="73">SUM(D112:D120)</f>
        <v>1.1611656904522967</v>
      </c>
      <c r="E121" s="55">
        <f>SUM(E112:E120)</f>
        <v>20.6</v>
      </c>
      <c r="F121" s="55">
        <f t="shared" si="73"/>
        <v>100</v>
      </c>
      <c r="G121" s="55">
        <f>SUM(G112:G120)</f>
        <v>1</v>
      </c>
      <c r="H121" s="55">
        <f>SUM(H112:H120)</f>
        <v>1</v>
      </c>
      <c r="I121" s="93">
        <f t="shared" si="73"/>
        <v>1</v>
      </c>
      <c r="J121" s="3"/>
      <c r="K121" s="3"/>
      <c r="L121" s="3"/>
      <c r="M121" s="3"/>
      <c r="N121" s="4"/>
      <c r="O121" s="4"/>
      <c r="P121" s="4"/>
      <c r="Q121" s="4"/>
      <c r="R121" s="4"/>
      <c r="S121" s="4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</row>
    <row r="122" spans="1:35" ht="46.8">
      <c r="A122" s="3"/>
      <c r="B122" s="65" t="s">
        <v>129</v>
      </c>
      <c r="C122" s="65" t="s">
        <v>111</v>
      </c>
      <c r="D122" s="69">
        <f>-2*D98*T27-(D113-2*D98)*T21-D112*T23</f>
        <v>-14.64498778321328</v>
      </c>
      <c r="E122" s="67">
        <f>-((D112*L26+D113*L25+D114*L21+D115*L20+D116*L27+D117*L29+D118*L24+D119*L23)-(D101*L27+D99*L21+D104*L23+D97*L26+D98*L25+D100*L20+D102*L29))/(D101+3*D102)</f>
        <v>-2.213835598872151</v>
      </c>
      <c r="F122" s="66"/>
      <c r="G122" s="66"/>
      <c r="H122" s="66"/>
      <c r="I122" s="94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</row>
    <row r="123" spans="1:35">
      <c r="A123" s="3"/>
      <c r="B123" s="3" t="s">
        <v>132</v>
      </c>
      <c r="C123" s="3"/>
      <c r="D123" s="2">
        <f>D115/D113</f>
        <v>120.15487200736915</v>
      </c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</row>
    <row r="124" spans="1:3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</row>
    <row r="125" spans="1:3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</row>
    <row r="126" spans="1:35" s="3" customFormat="1"/>
    <row r="127" spans="1:35" s="3" customFormat="1"/>
    <row r="128" spans="1:35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58" r:id="rId3" name="Start">
          <controlPr defaultSize="0" autoLine="0" r:id="rId4">
            <anchor moveWithCells="1">
              <from>
                <xdr:col>4</xdr:col>
                <xdr:colOff>99060</xdr:colOff>
                <xdr:row>11</xdr:row>
                <xdr:rowOff>198120</xdr:rowOff>
              </from>
              <to>
                <xdr:col>5</xdr:col>
                <xdr:colOff>731520</xdr:colOff>
                <xdr:row>14</xdr:row>
                <xdr:rowOff>99060</xdr:rowOff>
              </to>
            </anchor>
          </controlPr>
        </control>
      </mc:Choice>
      <mc:Fallback>
        <control shapeId="4558" r:id="rId3" name="Sta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G46"/>
  <sheetViews>
    <sheetView topLeftCell="A16" workbookViewId="0">
      <selection activeCell="AG12" sqref="AG12"/>
    </sheetView>
  </sheetViews>
  <sheetFormatPr defaultColWidth="11.19921875" defaultRowHeight="15.6"/>
  <sheetData>
    <row r="1" spans="1:33" ht="18">
      <c r="C1" s="68" t="s">
        <v>133</v>
      </c>
      <c r="F1" s="1" t="s">
        <v>172</v>
      </c>
      <c r="I1" s="98">
        <v>45316</v>
      </c>
      <c r="W1" s="68" t="s">
        <v>133</v>
      </c>
      <c r="Z1" s="1" t="s">
        <v>173</v>
      </c>
    </row>
    <row r="2" spans="1:33" ht="18">
      <c r="A2" s="64" t="s">
        <v>65</v>
      </c>
      <c r="F2" s="1" t="s">
        <v>83</v>
      </c>
      <c r="U2" s="64" t="s">
        <v>65</v>
      </c>
      <c r="Z2" s="1" t="s">
        <v>83</v>
      </c>
    </row>
    <row r="3" spans="1:33">
      <c r="B3" s="1" t="s">
        <v>66</v>
      </c>
      <c r="C3" t="s">
        <v>69</v>
      </c>
      <c r="D3" t="s">
        <v>75</v>
      </c>
      <c r="E3" t="s">
        <v>128</v>
      </c>
      <c r="F3" t="s">
        <v>67</v>
      </c>
      <c r="V3" s="1" t="s">
        <v>66</v>
      </c>
      <c r="W3" t="s">
        <v>69</v>
      </c>
      <c r="X3" t="s">
        <v>75</v>
      </c>
      <c r="Y3" t="s">
        <v>128</v>
      </c>
      <c r="Z3" t="s">
        <v>67</v>
      </c>
    </row>
    <row r="4" spans="1:33">
      <c r="A4" s="11"/>
      <c r="B4" t="s">
        <v>68</v>
      </c>
      <c r="C4" s="3" t="s">
        <v>53</v>
      </c>
      <c r="D4" s="3" t="s">
        <v>55</v>
      </c>
      <c r="E4" s="3" t="s">
        <v>57</v>
      </c>
      <c r="F4" s="3" t="s">
        <v>59</v>
      </c>
      <c r="G4" s="9" t="s">
        <v>13</v>
      </c>
      <c r="H4" s="3" t="s">
        <v>15</v>
      </c>
      <c r="I4" s="3" t="s">
        <v>70</v>
      </c>
      <c r="J4" s="3" t="s">
        <v>4</v>
      </c>
      <c r="K4" s="3" t="s">
        <v>130</v>
      </c>
      <c r="L4" s="3" t="s">
        <v>171</v>
      </c>
      <c r="U4" s="15"/>
      <c r="V4" t="s">
        <v>68</v>
      </c>
      <c r="W4" s="3" t="s">
        <v>53</v>
      </c>
      <c r="X4" s="3" t="s">
        <v>55</v>
      </c>
      <c r="Y4" s="3" t="s">
        <v>57</v>
      </c>
      <c r="Z4" s="3" t="s">
        <v>59</v>
      </c>
      <c r="AA4" s="9" t="s">
        <v>13</v>
      </c>
      <c r="AB4" s="3" t="s">
        <v>93</v>
      </c>
      <c r="AC4" s="3" t="s">
        <v>15</v>
      </c>
      <c r="AD4" s="3" t="s">
        <v>70</v>
      </c>
      <c r="AE4" s="3" t="s">
        <v>4</v>
      </c>
      <c r="AF4" s="3" t="s">
        <v>130</v>
      </c>
      <c r="AG4" s="3" t="s">
        <v>171</v>
      </c>
    </row>
    <row r="5" spans="1:33">
      <c r="A5" s="11"/>
      <c r="B5">
        <v>400</v>
      </c>
      <c r="C5">
        <v>2.1408294416749133E-2</v>
      </c>
      <c r="D5">
        <v>1.1454890114060809E-3</v>
      </c>
      <c r="E5">
        <v>0.65846948910028047</v>
      </c>
      <c r="F5">
        <v>0.10756460221331357</v>
      </c>
      <c r="G5">
        <v>0.20224747164156168</v>
      </c>
      <c r="H5">
        <v>9.4080765271242432E-3</v>
      </c>
      <c r="I5">
        <v>-2.4342291043507108E-4</v>
      </c>
      <c r="J5">
        <v>0</v>
      </c>
      <c r="U5" s="15"/>
      <c r="V5">
        <v>350</v>
      </c>
      <c r="W5">
        <v>1.575628761477656E-2</v>
      </c>
      <c r="X5">
        <v>6.4075709013476171E-5</v>
      </c>
      <c r="Y5">
        <v>0.69469280407574818</v>
      </c>
      <c r="Z5">
        <v>6.3217377586146817E-2</v>
      </c>
      <c r="AA5">
        <v>0.22626945501431495</v>
      </c>
      <c r="AB5">
        <v>0</v>
      </c>
      <c r="AC5">
        <v>0</v>
      </c>
      <c r="AD5">
        <v>7.8880091104802232E-17</v>
      </c>
      <c r="AE5">
        <v>0</v>
      </c>
      <c r="AF5" s="6"/>
      <c r="AG5">
        <v>-11.736788577468019</v>
      </c>
    </row>
    <row r="6" spans="1:33">
      <c r="A6" s="11"/>
      <c r="B6">
        <v>430</v>
      </c>
      <c r="C6">
        <v>2.3381215535129639E-2</v>
      </c>
      <c r="D6">
        <v>2.2941748842978606E-3</v>
      </c>
      <c r="E6">
        <v>0.63318399639883638</v>
      </c>
      <c r="F6">
        <v>0.13940247263483763</v>
      </c>
      <c r="G6">
        <v>0.18224059923353017</v>
      </c>
      <c r="H6">
        <v>1.9497546693813126E-2</v>
      </c>
      <c r="I6">
        <v>-5.3804448066232728E-9</v>
      </c>
      <c r="J6">
        <v>0</v>
      </c>
      <c r="U6" s="15"/>
      <c r="V6">
        <v>400</v>
      </c>
      <c r="W6">
        <v>2.718550894656302E-2</v>
      </c>
      <c r="X6">
        <v>3.5320130699304972E-4</v>
      </c>
      <c r="Y6">
        <v>0.6539677154195469</v>
      </c>
      <c r="Z6">
        <v>0.10980163970723114</v>
      </c>
      <c r="AA6">
        <v>0.20869193461966593</v>
      </c>
      <c r="AB6">
        <v>0</v>
      </c>
      <c r="AC6">
        <v>0</v>
      </c>
      <c r="AD6">
        <v>-2.5945136149812855E-17</v>
      </c>
      <c r="AE6">
        <v>0</v>
      </c>
      <c r="AF6" s="6"/>
      <c r="AG6" s="6"/>
    </row>
    <row r="7" spans="1:33">
      <c r="A7" s="11"/>
      <c r="B7">
        <v>450</v>
      </c>
      <c r="C7">
        <v>2.4763455725591896E-2</v>
      </c>
      <c r="D7">
        <v>3.533120233486326E-3</v>
      </c>
      <c r="E7">
        <v>0.61502223517514409</v>
      </c>
      <c r="F7">
        <v>0.16234418294434183</v>
      </c>
      <c r="G7">
        <v>0.1680162706223334</v>
      </c>
      <c r="H7">
        <v>2.6405139572491215E-2</v>
      </c>
      <c r="I7">
        <v>-8.4404273388661414E-5</v>
      </c>
      <c r="J7">
        <v>0</v>
      </c>
      <c r="U7" s="15"/>
      <c r="V7">
        <v>450</v>
      </c>
      <c r="W7">
        <v>4.2012486011611255E-2</v>
      </c>
      <c r="X7">
        <v>1.495260699561756E-3</v>
      </c>
      <c r="Y7">
        <v>0.59921814721045508</v>
      </c>
      <c r="Z7">
        <v>0.1725357261451311</v>
      </c>
      <c r="AA7">
        <v>0.18473837993324041</v>
      </c>
      <c r="AB7">
        <v>0</v>
      </c>
      <c r="AC7">
        <v>0</v>
      </c>
      <c r="AD7">
        <v>4.3702309528813892E-16</v>
      </c>
      <c r="AE7">
        <v>0</v>
      </c>
      <c r="AF7" s="6"/>
      <c r="AG7" s="6"/>
    </row>
    <row r="8" spans="1:33">
      <c r="A8" s="11"/>
      <c r="B8">
        <v>500</v>
      </c>
      <c r="C8">
        <v>2.8405666924858623E-2</v>
      </c>
      <c r="D8">
        <v>9.4570075161136916E-3</v>
      </c>
      <c r="E8">
        <v>0.56581111908400306</v>
      </c>
      <c r="F8">
        <v>0.22349572743636925</v>
      </c>
      <c r="G8">
        <v>0.13207946044578295</v>
      </c>
      <c r="H8">
        <v>4.0751018600877112E-2</v>
      </c>
      <c r="I8">
        <v>-8.0046539575378979E-12</v>
      </c>
      <c r="J8">
        <v>0</v>
      </c>
      <c r="K8">
        <v>4.75</v>
      </c>
      <c r="L8">
        <v>-51.58</v>
      </c>
      <c r="U8" s="15"/>
      <c r="V8">
        <v>500</v>
      </c>
      <c r="W8">
        <v>5.8126912354289684E-2</v>
      </c>
      <c r="X8">
        <v>4.9859359692953709E-3</v>
      </c>
      <c r="Y8">
        <v>0.53409095912835691</v>
      </c>
      <c r="Z8">
        <v>0.2474654629311473</v>
      </c>
      <c r="AA8">
        <v>0.15533072681385965</v>
      </c>
      <c r="AB8">
        <v>0</v>
      </c>
      <c r="AC8">
        <v>0</v>
      </c>
      <c r="AD8">
        <v>2.8030512219974379E-9</v>
      </c>
      <c r="AE8">
        <v>0</v>
      </c>
      <c r="AF8" s="6">
        <v>4.75</v>
      </c>
      <c r="AG8" s="6">
        <v>-51.58</v>
      </c>
    </row>
    <row r="9" spans="1:33">
      <c r="A9" s="11"/>
      <c r="B9">
        <v>520</v>
      </c>
      <c r="C9">
        <v>2.9909469443602184E-2</v>
      </c>
      <c r="D9">
        <v>1.3559862216598651E-2</v>
      </c>
      <c r="E9">
        <v>0.54510541870454632</v>
      </c>
      <c r="F9">
        <v>0.24873317469384204</v>
      </c>
      <c r="G9">
        <v>0.11848421980714738</v>
      </c>
      <c r="H9">
        <v>4.4207855134948924E-2</v>
      </c>
      <c r="I9">
        <v>-6.8580854617831708E-13</v>
      </c>
      <c r="J9">
        <v>0</v>
      </c>
      <c r="U9" s="15"/>
      <c r="V9">
        <v>520</v>
      </c>
      <c r="W9">
        <v>6.4088140383375972E-2</v>
      </c>
      <c r="X9">
        <v>7.5623525309447192E-3</v>
      </c>
      <c r="Y9">
        <v>0.50678542489668588</v>
      </c>
      <c r="Z9">
        <v>0.27903976635116451</v>
      </c>
      <c r="AA9">
        <v>0.14252424222541563</v>
      </c>
      <c r="AB9">
        <v>0</v>
      </c>
      <c r="AC9">
        <v>0</v>
      </c>
      <c r="AD9">
        <v>7.3612413220542736E-8</v>
      </c>
      <c r="AE9">
        <v>0</v>
      </c>
      <c r="AF9" s="6"/>
      <c r="AG9" s="6"/>
    </row>
    <row r="10" spans="1:33">
      <c r="A10" s="11"/>
      <c r="B10">
        <v>550</v>
      </c>
      <c r="C10">
        <v>3.2063744274877397E-2</v>
      </c>
      <c r="D10">
        <v>2.2526009169856653E-2</v>
      </c>
      <c r="E10">
        <v>0.51312541858347593</v>
      </c>
      <c r="F10">
        <v>0.2869482759987661</v>
      </c>
      <c r="G10">
        <v>9.977891628610347E-2</v>
      </c>
      <c r="H10">
        <v>4.5557635696637844E-2</v>
      </c>
      <c r="I10">
        <v>-9.7174087579994149E-12</v>
      </c>
      <c r="J10">
        <v>0</v>
      </c>
      <c r="U10" s="15"/>
      <c r="V10">
        <v>550</v>
      </c>
      <c r="W10">
        <v>7.1602521264326327E-2</v>
      </c>
      <c r="X10">
        <v>1.3164550576413931E-2</v>
      </c>
      <c r="Y10">
        <v>0.46647397760120013</v>
      </c>
      <c r="Z10">
        <v>0.32590797062845456</v>
      </c>
      <c r="AA10">
        <v>0.1228488630086511</v>
      </c>
      <c r="AB10">
        <v>0</v>
      </c>
      <c r="AC10">
        <v>0</v>
      </c>
      <c r="AD10">
        <v>2.1169209537101411E-6</v>
      </c>
      <c r="AE10">
        <v>0</v>
      </c>
      <c r="AF10" s="6"/>
      <c r="AG10">
        <v>-78.281544973607197</v>
      </c>
    </row>
    <row r="11" spans="1:33">
      <c r="A11" s="11"/>
      <c r="B11">
        <v>580</v>
      </c>
      <c r="C11">
        <v>3.3822324862313263E-2</v>
      </c>
      <c r="D11">
        <v>3.5994391784078754E-2</v>
      </c>
      <c r="E11">
        <v>0.47989373113300077</v>
      </c>
      <c r="F11">
        <v>0.3255953447391145</v>
      </c>
      <c r="G11">
        <v>8.3532772554303594E-2</v>
      </c>
      <c r="H11">
        <v>4.1161434977963283E-2</v>
      </c>
      <c r="I11">
        <v>-5.0774196727969147E-11</v>
      </c>
      <c r="J11">
        <v>0</v>
      </c>
      <c r="U11" s="15"/>
      <c r="V11">
        <v>580</v>
      </c>
      <c r="W11">
        <v>7.6688831075609698E-2</v>
      </c>
      <c r="X11">
        <v>2.1046206121041772E-2</v>
      </c>
      <c r="Y11">
        <v>0.4289209341522574</v>
      </c>
      <c r="Z11">
        <v>0.36993222759683997</v>
      </c>
      <c r="AA11">
        <v>0.10339265858861335</v>
      </c>
      <c r="AB11">
        <v>0</v>
      </c>
      <c r="AC11">
        <v>0</v>
      </c>
      <c r="AD11">
        <v>1.914246563794984E-5</v>
      </c>
      <c r="AE11">
        <v>0</v>
      </c>
      <c r="AF11" s="6"/>
      <c r="AG11" s="6"/>
    </row>
    <row r="12" spans="1:33">
      <c r="A12" s="11"/>
      <c r="B12">
        <v>600</v>
      </c>
      <c r="C12">
        <v>3.4577237410492262E-2</v>
      </c>
      <c r="D12">
        <v>4.8130829863919845E-2</v>
      </c>
      <c r="E12">
        <v>0.4568590269895989</v>
      </c>
      <c r="F12">
        <v>0.35175952928262466</v>
      </c>
      <c r="G12">
        <v>7.4144331509236494E-2</v>
      </c>
      <c r="H12">
        <v>3.4529045040520484E-2</v>
      </c>
      <c r="I12">
        <v>-9.6392740209722126E-11</v>
      </c>
      <c r="J12">
        <v>0</v>
      </c>
      <c r="K12">
        <v>5.23</v>
      </c>
      <c r="L12">
        <v>-106.03</v>
      </c>
      <c r="U12" s="15"/>
      <c r="V12">
        <v>600</v>
      </c>
      <c r="W12">
        <v>7.8524418205532645E-2</v>
      </c>
      <c r="X12">
        <v>2.7466112776971682E-2</v>
      </c>
      <c r="Y12">
        <v>0.40634730743685799</v>
      </c>
      <c r="Z12">
        <v>0.3966065179903901</v>
      </c>
      <c r="AA12">
        <v>9.1000390171575463E-2</v>
      </c>
      <c r="AB12">
        <v>0</v>
      </c>
      <c r="AC12">
        <v>0</v>
      </c>
      <c r="AD12">
        <v>5.5253418672210617E-5</v>
      </c>
      <c r="AE12">
        <v>0</v>
      </c>
      <c r="AF12">
        <v>1.2690940198429665</v>
      </c>
      <c r="AG12">
        <v>-106.01826312863591</v>
      </c>
    </row>
    <row r="13" spans="1:33">
      <c r="A13" s="11"/>
      <c r="B13">
        <v>620</v>
      </c>
      <c r="C13">
        <v>3.4850338421776962E-2</v>
      </c>
      <c r="D13">
        <v>6.3207438792202544E-2</v>
      </c>
      <c r="E13">
        <v>0.43296193507913322</v>
      </c>
      <c r="F13">
        <v>0.37841471491320311</v>
      </c>
      <c r="G13">
        <v>6.5870050484020864E-2</v>
      </c>
      <c r="H13">
        <v>2.4695522444296739E-2</v>
      </c>
      <c r="I13">
        <v>-1.3463341408275484E-10</v>
      </c>
      <c r="J13">
        <v>0</v>
      </c>
      <c r="U13" s="15"/>
      <c r="V13">
        <v>620</v>
      </c>
      <c r="W13">
        <v>7.9141562485247521E-2</v>
      </c>
      <c r="X13">
        <v>3.4593619100645401E-2</v>
      </c>
      <c r="Y13">
        <v>0.38616976334797287</v>
      </c>
      <c r="Z13">
        <v>0.4206021764807788</v>
      </c>
      <c r="AA13">
        <v>7.9365343966429081E-2</v>
      </c>
      <c r="AB13">
        <v>0</v>
      </c>
      <c r="AC13">
        <v>0</v>
      </c>
      <c r="AD13">
        <v>1.2753461892632252E-4</v>
      </c>
      <c r="AE13">
        <v>0</v>
      </c>
      <c r="AF13" s="6"/>
      <c r="AG13" s="6"/>
    </row>
    <row r="14" spans="1:33">
      <c r="A14" s="11"/>
      <c r="B14">
        <v>650</v>
      </c>
      <c r="C14">
        <v>3.4132117367153401E-2</v>
      </c>
      <c r="D14">
        <v>9.1841687417958062E-2</v>
      </c>
      <c r="E14">
        <v>0.3952559271456319</v>
      </c>
      <c r="F14">
        <v>0.41962345665702377</v>
      </c>
      <c r="G14">
        <v>5.5361849066144095E-2</v>
      </c>
      <c r="H14">
        <v>3.7849624802305587E-3</v>
      </c>
      <c r="I14">
        <v>-1.3414189091868688E-10</v>
      </c>
      <c r="J14">
        <v>0</v>
      </c>
      <c r="U14" s="15"/>
      <c r="V14">
        <v>650</v>
      </c>
      <c r="W14">
        <v>7.810747097721904E-2</v>
      </c>
      <c r="X14">
        <v>4.6009858003789622E-2</v>
      </c>
      <c r="Y14">
        <v>0.36068857633344215</v>
      </c>
      <c r="Z14">
        <v>0.45112173445611209</v>
      </c>
      <c r="AA14">
        <v>6.3741221961503641E-2</v>
      </c>
      <c r="AB14">
        <v>0</v>
      </c>
      <c r="AC14">
        <v>0</v>
      </c>
      <c r="AD14">
        <v>3.3113826793352061E-4</v>
      </c>
      <c r="AE14">
        <v>0</v>
      </c>
      <c r="AF14" s="6"/>
      <c r="AG14">
        <v>-134.28570539041311</v>
      </c>
    </row>
    <row r="15" spans="1:33">
      <c r="A15" s="11"/>
      <c r="B15">
        <v>680</v>
      </c>
      <c r="C15">
        <v>7.5609103754132836E-2</v>
      </c>
      <c r="D15">
        <v>5.7399581770169288E-2</v>
      </c>
      <c r="E15">
        <v>0.34187391356246105</v>
      </c>
      <c r="F15">
        <v>0.47463247571141454</v>
      </c>
      <c r="G15">
        <v>5.04876098174468E-2</v>
      </c>
      <c r="H15">
        <v>0</v>
      </c>
      <c r="I15">
        <v>-2.6846156245756085E-6</v>
      </c>
      <c r="J15">
        <v>0</v>
      </c>
      <c r="U15" s="15"/>
      <c r="V15">
        <v>680</v>
      </c>
      <c r="W15">
        <v>7.5356352308298249E-2</v>
      </c>
      <c r="X15">
        <v>5.7464572418428832E-2</v>
      </c>
      <c r="Y15">
        <v>0.34073209442834296</v>
      </c>
      <c r="Z15">
        <v>0.47517130208596392</v>
      </c>
      <c r="AA15">
        <v>5.0599590960223817E-2</v>
      </c>
      <c r="AB15">
        <v>0</v>
      </c>
      <c r="AC15">
        <v>0</v>
      </c>
      <c r="AD15">
        <v>6.7608779874221323E-4</v>
      </c>
      <c r="AE15">
        <v>0</v>
      </c>
      <c r="AF15" s="6"/>
      <c r="AG15" s="6"/>
    </row>
    <row r="16" spans="1:33">
      <c r="A16" s="11"/>
      <c r="B16" s="3">
        <v>700</v>
      </c>
      <c r="C16">
        <v>7.329865458551775E-2</v>
      </c>
      <c r="D16">
        <v>6.4643045570823093E-2</v>
      </c>
      <c r="E16">
        <v>0.33184104684045879</v>
      </c>
      <c r="F16">
        <v>0.48712719124351073</v>
      </c>
      <c r="G16">
        <v>4.3086625570719059E-2</v>
      </c>
      <c r="H16">
        <v>0</v>
      </c>
      <c r="I16">
        <v>3.4361889703803612E-6</v>
      </c>
      <c r="J16">
        <v>0</v>
      </c>
      <c r="K16">
        <v>5.52</v>
      </c>
      <c r="L16">
        <v>-157.27000000000001</v>
      </c>
      <c r="U16" s="15"/>
      <c r="V16">
        <v>700</v>
      </c>
      <c r="W16">
        <v>7.2929201805733229E-2</v>
      </c>
      <c r="X16">
        <v>6.4754428147234075E-2</v>
      </c>
      <c r="Y16">
        <v>0.33015588643838317</v>
      </c>
      <c r="Z16">
        <v>0.48794797302715548</v>
      </c>
      <c r="AA16">
        <v>4.3228569900234062E-2</v>
      </c>
      <c r="AB16">
        <v>0</v>
      </c>
      <c r="AC16">
        <v>0</v>
      </c>
      <c r="AD16">
        <v>9.8394068126018237E-4</v>
      </c>
      <c r="AE16">
        <v>0</v>
      </c>
      <c r="AF16" s="6">
        <v>5.52</v>
      </c>
      <c r="AG16">
        <v>-159.80581766072328</v>
      </c>
    </row>
    <row r="17" spans="1:33">
      <c r="A17" s="11"/>
      <c r="B17" s="3">
        <v>750</v>
      </c>
      <c r="C17">
        <v>6.6736843885759484E-2</v>
      </c>
      <c r="D17">
        <v>8.063220695676418E-2</v>
      </c>
      <c r="E17">
        <v>0.31475104375791135</v>
      </c>
      <c r="F17">
        <v>0.5088949432767611</v>
      </c>
      <c r="G17">
        <v>2.8934015259373336E-2</v>
      </c>
      <c r="H17">
        <v>0</v>
      </c>
      <c r="I17">
        <v>5.0946863430682309E-5</v>
      </c>
      <c r="J17">
        <v>0</v>
      </c>
      <c r="K17">
        <v>5.67</v>
      </c>
      <c r="L17">
        <v>-176</v>
      </c>
      <c r="U17" s="15"/>
      <c r="V17">
        <v>750</v>
      </c>
      <c r="W17">
        <v>6.600485728330753E-2</v>
      </c>
      <c r="X17">
        <v>8.0912971353773552E-2</v>
      </c>
      <c r="Y17">
        <v>0.31130721640492881</v>
      </c>
      <c r="Z17">
        <v>0.51068078299023145</v>
      </c>
      <c r="AA17">
        <v>2.9132952069918325E-2</v>
      </c>
      <c r="AB17">
        <v>0</v>
      </c>
      <c r="AC17">
        <v>0</v>
      </c>
      <c r="AD17">
        <v>1.9612198978403782E-3</v>
      </c>
      <c r="AE17">
        <v>0</v>
      </c>
      <c r="AF17" s="6">
        <v>5.67</v>
      </c>
      <c r="AG17" s="6">
        <v>-176</v>
      </c>
    </row>
    <row r="18" spans="1:33">
      <c r="A18" s="11"/>
      <c r="B18" s="3">
        <v>800</v>
      </c>
      <c r="C18">
        <v>6.0200726715992074E-2</v>
      </c>
      <c r="D18">
        <v>9.3333925573920687E-2</v>
      </c>
      <c r="E18">
        <v>0.30569391728364581</v>
      </c>
      <c r="F18">
        <v>0.52095786695259494</v>
      </c>
      <c r="G18">
        <v>1.9660380106982091E-2</v>
      </c>
      <c r="H18">
        <v>0</v>
      </c>
      <c r="I18">
        <v>1.5318336686454158E-4</v>
      </c>
      <c r="J18">
        <v>0</v>
      </c>
      <c r="K18">
        <v>5.78</v>
      </c>
      <c r="L18">
        <v>-190.05</v>
      </c>
      <c r="U18" s="15"/>
      <c r="V18">
        <v>800</v>
      </c>
      <c r="W18">
        <v>5.7678266859114528E-2</v>
      </c>
      <c r="X18">
        <v>9.4407094625224217E-2</v>
      </c>
      <c r="Y18">
        <v>0.29326782842458005</v>
      </c>
      <c r="Z18">
        <v>0.52763653386155518</v>
      </c>
      <c r="AA18">
        <v>2.0159184954813822E-2</v>
      </c>
      <c r="AB18">
        <v>0</v>
      </c>
      <c r="AC18">
        <v>0</v>
      </c>
      <c r="AD18">
        <v>6.8510912747122106E-3</v>
      </c>
      <c r="AE18">
        <v>0</v>
      </c>
      <c r="AF18">
        <v>1.4514247630377979</v>
      </c>
      <c r="AG18">
        <v>-207.95923216723298</v>
      </c>
    </row>
    <row r="19" spans="1:33">
      <c r="A19" s="11"/>
      <c r="B19" s="3">
        <v>850</v>
      </c>
      <c r="C19">
        <v>5.4286599189331299E-2</v>
      </c>
      <c r="D19">
        <v>0.10321851801375348</v>
      </c>
      <c r="E19">
        <v>0.30142912994911542</v>
      </c>
      <c r="F19">
        <v>0.52709943683431215</v>
      </c>
      <c r="G19">
        <v>1.3668829977761112E-2</v>
      </c>
      <c r="H19">
        <v>0</v>
      </c>
      <c r="I19">
        <v>2.9748603572648608E-4</v>
      </c>
      <c r="J19">
        <v>0</v>
      </c>
      <c r="K19">
        <v>5.85</v>
      </c>
      <c r="L19">
        <v>-200.44</v>
      </c>
      <c r="U19" s="15"/>
      <c r="V19">
        <v>850</v>
      </c>
      <c r="W19">
        <v>5.11945913991124E-2</v>
      </c>
      <c r="X19">
        <v>0.10459497256743125</v>
      </c>
      <c r="Y19">
        <v>0.28528434563727728</v>
      </c>
      <c r="Z19">
        <v>0.53605212187856255</v>
      </c>
      <c r="AA19">
        <v>1.4129549227707146E-2</v>
      </c>
      <c r="AB19">
        <v>0</v>
      </c>
      <c r="AC19">
        <v>0</v>
      </c>
      <c r="AD19">
        <v>8.7444192899095389E-3</v>
      </c>
      <c r="AE19">
        <v>0</v>
      </c>
      <c r="AF19" s="6">
        <v>5.85</v>
      </c>
      <c r="AG19" s="6">
        <v>-200.44</v>
      </c>
    </row>
    <row r="20" spans="1:33">
      <c r="A20" s="11"/>
      <c r="B20" s="9">
        <v>900</v>
      </c>
      <c r="C20">
        <v>4.9110823194249108E-2</v>
      </c>
      <c r="D20">
        <v>0.11096493582514877</v>
      </c>
      <c r="E20">
        <v>0.29990174578816742</v>
      </c>
      <c r="F20">
        <v>0.52979356946183498</v>
      </c>
      <c r="G20">
        <v>9.773456521207681E-3</v>
      </c>
      <c r="H20">
        <v>0</v>
      </c>
      <c r="I20">
        <v>4.5546920939209395E-4</v>
      </c>
      <c r="J20">
        <v>0</v>
      </c>
      <c r="K20">
        <v>5.9</v>
      </c>
      <c r="L20">
        <v>-208.09</v>
      </c>
      <c r="U20" s="15"/>
      <c r="V20" s="17">
        <v>900</v>
      </c>
      <c r="W20">
        <v>4.5689053734398563E-2</v>
      </c>
      <c r="X20">
        <v>0.1124992841442272</v>
      </c>
      <c r="Y20">
        <v>0.28082809151354304</v>
      </c>
      <c r="Z20">
        <v>0.54062643831972601</v>
      </c>
      <c r="AA20">
        <v>1.0170946813380072E-2</v>
      </c>
      <c r="AB20">
        <v>0</v>
      </c>
      <c r="AC20">
        <v>0</v>
      </c>
      <c r="AD20">
        <v>1.0186185474725084E-2</v>
      </c>
      <c r="AE20">
        <v>0</v>
      </c>
      <c r="AF20">
        <v>1.4849195900145724</v>
      </c>
      <c r="AG20">
        <v>-234.1230334071526</v>
      </c>
    </row>
    <row r="21" spans="1:33">
      <c r="B21" s="3">
        <v>950</v>
      </c>
      <c r="C21">
        <v>4.4685105789226152E-2</v>
      </c>
      <c r="D21">
        <v>0.11713760627491589</v>
      </c>
      <c r="E21">
        <v>0.30026163387051247</v>
      </c>
      <c r="F21">
        <v>0.53043669126011661</v>
      </c>
      <c r="G21">
        <v>7.1955135267646395E-3</v>
      </c>
      <c r="H21">
        <v>0</v>
      </c>
      <c r="I21">
        <v>2.8344927846424544E-4</v>
      </c>
      <c r="J21">
        <v>0</v>
      </c>
      <c r="K21">
        <v>5.93</v>
      </c>
      <c r="L21">
        <v>-213.72</v>
      </c>
      <c r="V21">
        <v>950</v>
      </c>
      <c r="W21">
        <v>3.247940303305278E-2</v>
      </c>
      <c r="X21">
        <v>0.12224442384665223</v>
      </c>
      <c r="Y21">
        <v>0.22586929731936997</v>
      </c>
      <c r="Z21">
        <v>0.57289941636185127</v>
      </c>
      <c r="AA21">
        <v>8.3831930942320429E-3</v>
      </c>
      <c r="AB21">
        <v>0</v>
      </c>
      <c r="AC21">
        <v>0</v>
      </c>
      <c r="AD21">
        <v>3.8124266344841701E-2</v>
      </c>
      <c r="AE21">
        <v>0</v>
      </c>
      <c r="AF21" s="6"/>
      <c r="AG21" s="6"/>
    </row>
    <row r="22" spans="1:33">
      <c r="B22" s="3">
        <v>1000</v>
      </c>
      <c r="C22">
        <v>4.0142455763210169E-2</v>
      </c>
      <c r="D22">
        <v>0.12218910097378535</v>
      </c>
      <c r="E22">
        <v>0.29684942625021599</v>
      </c>
      <c r="F22">
        <v>0.53123785566093118</v>
      </c>
      <c r="G22">
        <v>5.4804316651229888E-3</v>
      </c>
      <c r="H22">
        <v>0</v>
      </c>
      <c r="I22">
        <v>4.100729686734382E-3</v>
      </c>
      <c r="J22">
        <v>0</v>
      </c>
      <c r="V22">
        <v>1000</v>
      </c>
      <c r="W22">
        <v>2.73139220135586E-2</v>
      </c>
      <c r="X22">
        <v>0.12748075703025552</v>
      </c>
      <c r="Y22">
        <v>0.21198045845654059</v>
      </c>
      <c r="Z22">
        <v>0.58167535690526684</v>
      </c>
      <c r="AA22">
        <v>6.560806714245593E-3</v>
      </c>
      <c r="AB22">
        <v>0</v>
      </c>
      <c r="AC22">
        <v>0</v>
      </c>
      <c r="AD22">
        <v>4.4988698880132905E-2</v>
      </c>
      <c r="AE22">
        <v>0</v>
      </c>
      <c r="AF22">
        <v>1.5493740347623259</v>
      </c>
      <c r="AG22">
        <v>-351.14188768130498</v>
      </c>
    </row>
    <row r="25" spans="1:33" ht="18">
      <c r="A25" s="64" t="s">
        <v>134</v>
      </c>
    </row>
    <row r="26" spans="1:33">
      <c r="B26" s="1" t="s">
        <v>66</v>
      </c>
      <c r="C26" t="s">
        <v>69</v>
      </c>
      <c r="D26" t="s">
        <v>75</v>
      </c>
      <c r="E26" t="s">
        <v>128</v>
      </c>
      <c r="F26" s="1" t="s">
        <v>135</v>
      </c>
      <c r="I26" t="s">
        <v>83</v>
      </c>
    </row>
    <row r="27" spans="1:33">
      <c r="A27" s="15"/>
      <c r="B27" t="s">
        <v>68</v>
      </c>
      <c r="C27" s="3" t="s">
        <v>53</v>
      </c>
      <c r="D27" s="3" t="s">
        <v>55</v>
      </c>
      <c r="E27" s="3" t="s">
        <v>57</v>
      </c>
      <c r="F27" s="3" t="s">
        <v>59</v>
      </c>
      <c r="G27" s="9" t="s">
        <v>13</v>
      </c>
      <c r="H27" s="3" t="s">
        <v>15</v>
      </c>
      <c r="I27" s="3" t="s">
        <v>70</v>
      </c>
      <c r="J27" s="3" t="s">
        <v>4</v>
      </c>
      <c r="K27" s="3" t="s">
        <v>130</v>
      </c>
      <c r="L27" s="3" t="s">
        <v>131</v>
      </c>
    </row>
    <row r="28" spans="1:33">
      <c r="A28" s="15"/>
      <c r="B28">
        <v>400</v>
      </c>
      <c r="C28">
        <v>2.1408294416749133E-2</v>
      </c>
      <c r="D28">
        <v>1.1454890114060809E-3</v>
      </c>
      <c r="E28">
        <v>0.65846948910028047</v>
      </c>
      <c r="F28">
        <v>0.10756460221331357</v>
      </c>
      <c r="G28">
        <v>0.20224747164156168</v>
      </c>
      <c r="H28">
        <v>9.4080765271242432E-3</v>
      </c>
      <c r="I28">
        <v>-2.4342291043507108E-4</v>
      </c>
      <c r="J28">
        <v>0</v>
      </c>
    </row>
    <row r="29" spans="1:33">
      <c r="A29" s="15"/>
      <c r="B29">
        <v>430</v>
      </c>
      <c r="C29">
        <v>2.3381215535129639E-2</v>
      </c>
      <c r="D29">
        <v>2.2941748842978606E-3</v>
      </c>
      <c r="E29">
        <v>0.63318399639883638</v>
      </c>
      <c r="F29">
        <v>0.13940247263483763</v>
      </c>
      <c r="G29">
        <v>0.18224059923353017</v>
      </c>
      <c r="H29">
        <v>1.9497546693813126E-2</v>
      </c>
      <c r="I29">
        <v>-5.3804448066232728E-9</v>
      </c>
      <c r="J29">
        <v>0</v>
      </c>
    </row>
    <row r="30" spans="1:33">
      <c r="A30" s="15"/>
      <c r="B30">
        <v>450</v>
      </c>
      <c r="C30">
        <v>2.4763455725591896E-2</v>
      </c>
      <c r="D30">
        <v>3.533120233486326E-3</v>
      </c>
      <c r="E30">
        <v>0.61502223517514409</v>
      </c>
      <c r="F30">
        <v>0.16234418294434183</v>
      </c>
      <c r="G30">
        <v>0.1680162706223334</v>
      </c>
      <c r="H30">
        <v>2.6405139572491215E-2</v>
      </c>
      <c r="I30">
        <v>-8.4404273388661414E-5</v>
      </c>
      <c r="J30">
        <v>0</v>
      </c>
    </row>
    <row r="31" spans="1:33">
      <c r="A31" s="15"/>
      <c r="B31">
        <v>500</v>
      </c>
      <c r="C31">
        <v>2.8405666924858623E-2</v>
      </c>
      <c r="D31">
        <v>9.4570075161136916E-3</v>
      </c>
      <c r="E31">
        <v>0.56581111908400306</v>
      </c>
      <c r="F31">
        <v>0.22349572743636925</v>
      </c>
      <c r="G31">
        <v>0.13207946044578295</v>
      </c>
      <c r="H31">
        <v>4.0751018600877112E-2</v>
      </c>
      <c r="I31">
        <v>-8.0046539575378979E-12</v>
      </c>
      <c r="J31">
        <v>0</v>
      </c>
      <c r="K31">
        <v>4.75</v>
      </c>
      <c r="L31">
        <v>-51.58</v>
      </c>
    </row>
    <row r="32" spans="1:33">
      <c r="A32" s="15"/>
      <c r="B32">
        <v>520</v>
      </c>
      <c r="C32">
        <v>2.9909469443602184E-2</v>
      </c>
      <c r="D32">
        <v>1.3559862216598651E-2</v>
      </c>
      <c r="E32">
        <v>0.54510541870454632</v>
      </c>
      <c r="F32">
        <v>0.24873317469384204</v>
      </c>
      <c r="G32">
        <v>0.11848421980714738</v>
      </c>
      <c r="H32">
        <v>4.4207855134948924E-2</v>
      </c>
      <c r="I32">
        <v>-6.8580854617831708E-13</v>
      </c>
      <c r="J32">
        <v>0</v>
      </c>
    </row>
    <row r="33" spans="1:12">
      <c r="A33" s="15"/>
      <c r="B33">
        <v>550</v>
      </c>
      <c r="C33">
        <v>3.2063744274877397E-2</v>
      </c>
      <c r="D33">
        <v>2.2526009169856653E-2</v>
      </c>
      <c r="E33">
        <v>0.51312541858347593</v>
      </c>
      <c r="F33">
        <v>0.2869482759987661</v>
      </c>
      <c r="G33">
        <v>9.977891628610347E-2</v>
      </c>
      <c r="H33">
        <v>4.5557635696637844E-2</v>
      </c>
      <c r="I33">
        <v>-9.7174087579994149E-12</v>
      </c>
      <c r="J33">
        <v>0</v>
      </c>
    </row>
    <row r="34" spans="1:12">
      <c r="A34" s="15"/>
      <c r="B34">
        <v>580</v>
      </c>
      <c r="C34">
        <v>3.3822324862313263E-2</v>
      </c>
      <c r="D34">
        <v>3.5994391784078754E-2</v>
      </c>
      <c r="E34">
        <v>0.47989373113300077</v>
      </c>
      <c r="F34">
        <v>0.3255953447391145</v>
      </c>
      <c r="G34">
        <v>8.3532772554303594E-2</v>
      </c>
      <c r="H34">
        <v>4.1161434977963283E-2</v>
      </c>
      <c r="I34">
        <v>-5.0774196727969147E-11</v>
      </c>
      <c r="J34">
        <v>0</v>
      </c>
    </row>
    <row r="35" spans="1:12">
      <c r="A35" s="15"/>
      <c r="B35">
        <v>600</v>
      </c>
      <c r="C35">
        <v>3.4577237410492262E-2</v>
      </c>
      <c r="D35">
        <v>4.8130829863919845E-2</v>
      </c>
      <c r="E35">
        <v>0.4568590269895989</v>
      </c>
      <c r="F35">
        <v>0.35175952928262466</v>
      </c>
      <c r="G35">
        <v>7.4144331509236494E-2</v>
      </c>
      <c r="H35">
        <v>3.4529045040520484E-2</v>
      </c>
      <c r="I35">
        <v>-9.6392740209722126E-11</v>
      </c>
      <c r="J35">
        <v>0</v>
      </c>
      <c r="K35">
        <v>5.23</v>
      </c>
      <c r="L35">
        <v>-106.03</v>
      </c>
    </row>
    <row r="36" spans="1:12">
      <c r="A36" s="15"/>
      <c r="B36">
        <v>620</v>
      </c>
      <c r="C36">
        <v>3.4850338421776962E-2</v>
      </c>
      <c r="D36">
        <v>6.3207438792202544E-2</v>
      </c>
      <c r="E36">
        <v>0.43296193507913322</v>
      </c>
      <c r="F36">
        <v>0.37841471491320311</v>
      </c>
      <c r="G36">
        <v>6.5870050484020864E-2</v>
      </c>
      <c r="H36">
        <v>2.4695522444296739E-2</v>
      </c>
      <c r="I36">
        <v>-1.3463341408275484E-10</v>
      </c>
      <c r="J36">
        <v>0</v>
      </c>
    </row>
    <row r="37" spans="1:12">
      <c r="A37" s="15"/>
      <c r="B37">
        <v>633.5</v>
      </c>
      <c r="C37">
        <v>3.4706630353262727E-2</v>
      </c>
      <c r="D37">
        <v>7.5178341487540476E-2</v>
      </c>
      <c r="E37">
        <v>0.4162830361135722</v>
      </c>
      <c r="F37">
        <v>0.3967587513669007</v>
      </c>
      <c r="G37">
        <v>6.0874638059364349E-2</v>
      </c>
      <c r="H37">
        <v>1.619860276381007E-2</v>
      </c>
      <c r="I37">
        <v>-1.4445046084053998E-10</v>
      </c>
      <c r="J37">
        <v>0</v>
      </c>
    </row>
    <row r="38" spans="1:12">
      <c r="A38" s="15"/>
      <c r="B38">
        <v>650</v>
      </c>
      <c r="C38">
        <v>3.4132117367153401E-2</v>
      </c>
      <c r="D38">
        <v>9.1841687417958062E-2</v>
      </c>
      <c r="E38">
        <v>0.3952559271456319</v>
      </c>
      <c r="F38">
        <v>0.41962345665702377</v>
      </c>
      <c r="G38">
        <v>5.5361849066144095E-2</v>
      </c>
      <c r="H38">
        <v>3.7849624802305587E-3</v>
      </c>
      <c r="I38">
        <v>-1.3414189091868688E-10</v>
      </c>
      <c r="J38">
        <v>0</v>
      </c>
    </row>
    <row r="39" spans="1:12">
      <c r="A39" s="15"/>
      <c r="B39">
        <v>680</v>
      </c>
      <c r="C39">
        <v>7.5609103754132836E-2</v>
      </c>
      <c r="D39">
        <v>5.7399581770169288E-2</v>
      </c>
      <c r="E39">
        <v>0.34187391356246105</v>
      </c>
      <c r="F39">
        <v>0.47463247571141454</v>
      </c>
      <c r="G39">
        <v>5.04876098174468E-2</v>
      </c>
      <c r="H39">
        <v>0</v>
      </c>
      <c r="I39">
        <v>-2.6846156245756085E-6</v>
      </c>
      <c r="J39">
        <v>0</v>
      </c>
    </row>
    <row r="40" spans="1:12">
      <c r="A40" s="15"/>
      <c r="B40" s="3">
        <v>700</v>
      </c>
      <c r="C40">
        <v>7.329865458551775E-2</v>
      </c>
      <c r="D40">
        <v>6.4643045570823093E-2</v>
      </c>
      <c r="E40">
        <v>0.33184104684045879</v>
      </c>
      <c r="F40">
        <v>0.48712719124351073</v>
      </c>
      <c r="G40">
        <v>4.3086625570719059E-2</v>
      </c>
      <c r="H40">
        <v>0</v>
      </c>
      <c r="I40">
        <v>3.4361889703803612E-6</v>
      </c>
      <c r="J40">
        <v>0</v>
      </c>
      <c r="K40">
        <v>5.52</v>
      </c>
      <c r="L40">
        <v>-157.27000000000001</v>
      </c>
    </row>
    <row r="41" spans="1:12">
      <c r="A41" s="15"/>
      <c r="B41" s="3">
        <v>750</v>
      </c>
      <c r="C41">
        <v>6.6736843885759484E-2</v>
      </c>
      <c r="D41">
        <v>8.063220695676418E-2</v>
      </c>
      <c r="E41">
        <v>0.31475104375791135</v>
      </c>
      <c r="F41">
        <v>0.5088949432767611</v>
      </c>
      <c r="G41">
        <v>2.8934015259373336E-2</v>
      </c>
      <c r="H41">
        <v>0</v>
      </c>
      <c r="I41">
        <v>5.0946863430682309E-5</v>
      </c>
      <c r="J41">
        <v>0</v>
      </c>
      <c r="K41">
        <v>5.67</v>
      </c>
      <c r="L41">
        <v>-176</v>
      </c>
    </row>
    <row r="42" spans="1:12">
      <c r="A42" s="15"/>
      <c r="B42" s="3">
        <v>800</v>
      </c>
      <c r="C42">
        <v>6.0200726715992074E-2</v>
      </c>
      <c r="D42">
        <v>9.3333925573920687E-2</v>
      </c>
      <c r="E42">
        <v>0.30569391728364581</v>
      </c>
      <c r="F42">
        <v>0.52095786695259494</v>
      </c>
      <c r="G42">
        <v>1.9660380106982091E-2</v>
      </c>
      <c r="H42">
        <v>0</v>
      </c>
      <c r="I42">
        <v>1.5318336686454158E-4</v>
      </c>
      <c r="J42">
        <v>0</v>
      </c>
      <c r="K42">
        <v>5.78</v>
      </c>
      <c r="L42">
        <v>-190.05</v>
      </c>
    </row>
    <row r="43" spans="1:12">
      <c r="A43" s="15"/>
      <c r="B43" s="3">
        <v>850</v>
      </c>
      <c r="C43">
        <v>5.4286599189331299E-2</v>
      </c>
      <c r="D43">
        <v>0.10321851801375348</v>
      </c>
      <c r="E43">
        <v>0.30142912994911542</v>
      </c>
      <c r="F43">
        <v>0.52709943683431215</v>
      </c>
      <c r="G43">
        <v>1.3668829977761112E-2</v>
      </c>
      <c r="H43">
        <v>0</v>
      </c>
      <c r="I43">
        <v>2.9748603572648608E-4</v>
      </c>
      <c r="J43">
        <v>0</v>
      </c>
      <c r="K43">
        <v>5.85</v>
      </c>
      <c r="L43">
        <v>-200.44</v>
      </c>
    </row>
    <row r="44" spans="1:12">
      <c r="A44" s="15"/>
      <c r="B44" s="9">
        <v>900</v>
      </c>
      <c r="C44">
        <v>4.9110823194249108E-2</v>
      </c>
      <c r="D44">
        <v>0.11096493582514877</v>
      </c>
      <c r="E44">
        <v>0.29990174578816742</v>
      </c>
      <c r="F44">
        <v>0.52979356946183498</v>
      </c>
      <c r="G44">
        <v>9.773456521207681E-3</v>
      </c>
      <c r="H44">
        <v>0</v>
      </c>
      <c r="I44">
        <v>4.5546920939209395E-4</v>
      </c>
      <c r="J44">
        <v>0</v>
      </c>
      <c r="K44">
        <v>5.9</v>
      </c>
      <c r="L44">
        <v>-208.09</v>
      </c>
    </row>
    <row r="45" spans="1:12">
      <c r="B45" s="3">
        <v>950</v>
      </c>
      <c r="C45">
        <v>4.4685105789226152E-2</v>
      </c>
      <c r="D45">
        <v>0.11713760627491589</v>
      </c>
      <c r="E45">
        <v>0.30026163387051247</v>
      </c>
      <c r="F45">
        <v>0.53043669126011661</v>
      </c>
      <c r="G45">
        <v>7.1955135267646395E-3</v>
      </c>
      <c r="H45">
        <v>0</v>
      </c>
      <c r="I45">
        <v>2.8344927846424544E-4</v>
      </c>
      <c r="J45">
        <v>0</v>
      </c>
      <c r="K45">
        <v>5.93</v>
      </c>
      <c r="L45">
        <v>-213.72</v>
      </c>
    </row>
    <row r="46" spans="1:12">
      <c r="B46" s="3">
        <v>1000</v>
      </c>
      <c r="C46">
        <v>4.0142455763210169E-2</v>
      </c>
      <c r="D46">
        <v>0.12218910097378535</v>
      </c>
      <c r="E46">
        <v>0.29684942625021599</v>
      </c>
      <c r="F46">
        <v>0.53123785566093118</v>
      </c>
      <c r="G46">
        <v>5.4804316651229888E-3</v>
      </c>
      <c r="H46">
        <v>0</v>
      </c>
      <c r="I46">
        <v>4.100729686734382E-3</v>
      </c>
      <c r="J46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O131"/>
  <sheetViews>
    <sheetView topLeftCell="M1" zoomScale="80" zoomScaleNormal="80" workbookViewId="0">
      <selection activeCell="E25" sqref="E25"/>
    </sheetView>
  </sheetViews>
  <sheetFormatPr defaultColWidth="11.19921875" defaultRowHeight="15.6"/>
  <sheetData>
    <row r="2" spans="1:41">
      <c r="A2" t="s">
        <v>65</v>
      </c>
      <c r="E2" t="s">
        <v>83</v>
      </c>
    </row>
    <row r="3" spans="1:41">
      <c r="B3" s="1" t="s">
        <v>66</v>
      </c>
      <c r="C3" t="s">
        <v>69</v>
      </c>
      <c r="D3" t="s">
        <v>67</v>
      </c>
      <c r="Q3" s="1" t="s">
        <v>72</v>
      </c>
      <c r="R3" s="1" t="s">
        <v>87</v>
      </c>
      <c r="S3" t="s">
        <v>88</v>
      </c>
      <c r="T3" t="s">
        <v>67</v>
      </c>
      <c r="AG3" s="1" t="s">
        <v>72</v>
      </c>
      <c r="AH3" t="s">
        <v>87</v>
      </c>
      <c r="AI3" t="s">
        <v>89</v>
      </c>
      <c r="AJ3" t="s">
        <v>67</v>
      </c>
    </row>
    <row r="4" spans="1:41">
      <c r="A4" s="15"/>
      <c r="B4" t="s">
        <v>68</v>
      </c>
      <c r="C4" s="3" t="s">
        <v>53</v>
      </c>
      <c r="D4" s="3" t="s">
        <v>55</v>
      </c>
      <c r="E4" s="3" t="s">
        <v>57</v>
      </c>
      <c r="F4" s="3" t="s">
        <v>59</v>
      </c>
      <c r="G4" s="9" t="s">
        <v>13</v>
      </c>
      <c r="H4" s="3" t="s">
        <v>70</v>
      </c>
      <c r="J4" s="3" t="s">
        <v>15</v>
      </c>
      <c r="Q4" t="s">
        <v>68</v>
      </c>
      <c r="R4" s="3" t="s">
        <v>53</v>
      </c>
      <c r="S4" s="3" t="s">
        <v>55</v>
      </c>
      <c r="T4" s="3" t="s">
        <v>57</v>
      </c>
      <c r="U4" s="3" t="s">
        <v>59</v>
      </c>
      <c r="V4" s="9" t="s">
        <v>13</v>
      </c>
      <c r="W4" s="3" t="s">
        <v>70</v>
      </c>
      <c r="X4" s="3" t="s">
        <v>4</v>
      </c>
      <c r="Y4" s="3" t="s">
        <v>15</v>
      </c>
      <c r="AG4" t="s">
        <v>68</v>
      </c>
      <c r="AH4" s="3" t="s">
        <v>53</v>
      </c>
      <c r="AI4" s="3" t="s">
        <v>55</v>
      </c>
      <c r="AJ4" s="3" t="s">
        <v>57</v>
      </c>
      <c r="AK4" s="3" t="s">
        <v>59</v>
      </c>
      <c r="AL4" s="9" t="s">
        <v>13</v>
      </c>
      <c r="AM4" s="3" t="s">
        <v>70</v>
      </c>
      <c r="AN4" s="3" t="s">
        <v>4</v>
      </c>
      <c r="AO4" s="3" t="s">
        <v>15</v>
      </c>
    </row>
    <row r="5" spans="1:41">
      <c r="A5" s="15"/>
      <c r="B5">
        <v>545</v>
      </c>
      <c r="C5">
        <v>8.5440463410430947E-2</v>
      </c>
      <c r="D5">
        <v>2.2583783100176998E-2</v>
      </c>
      <c r="E5">
        <v>0.39443086668945843</v>
      </c>
      <c r="F5">
        <v>0.40906711616511593</v>
      </c>
      <c r="G5">
        <v>8.81639890814606E-2</v>
      </c>
      <c r="H5">
        <v>0</v>
      </c>
      <c r="I5">
        <v>0</v>
      </c>
      <c r="J5">
        <v>3.1378155335703772E-4</v>
      </c>
      <c r="Q5">
        <v>550</v>
      </c>
      <c r="R5">
        <v>0.10293268686705127</v>
      </c>
      <c r="S5">
        <v>2.7130502802805011E-2</v>
      </c>
      <c r="T5">
        <v>0.389012264453652</v>
      </c>
      <c r="U5">
        <v>0.32546804334483448</v>
      </c>
      <c r="V5">
        <v>0.1403663588932044</v>
      </c>
      <c r="W5">
        <v>1.6092786015597066E-22</v>
      </c>
      <c r="X5">
        <v>0</v>
      </c>
      <c r="Y5">
        <v>1.5090143638452933E-2</v>
      </c>
      <c r="AG5">
        <v>555</v>
      </c>
      <c r="AH5">
        <v>8.6092878717665924E-2</v>
      </c>
      <c r="AI5">
        <v>2.9182518344984826E-2</v>
      </c>
      <c r="AJ5">
        <v>0.27191947478227596</v>
      </c>
      <c r="AK5">
        <v>0.34883144717851189</v>
      </c>
      <c r="AL5">
        <v>6.8254739469680192E-2</v>
      </c>
      <c r="AM5">
        <v>5.9894434298333728E-27</v>
      </c>
      <c r="AN5">
        <v>0.17579259306610584</v>
      </c>
      <c r="AO5">
        <v>1.9926348440775288E-2</v>
      </c>
    </row>
    <row r="6" spans="1:41">
      <c r="A6" s="15"/>
      <c r="B6">
        <v>550</v>
      </c>
      <c r="C6" s="3">
        <v>8.0158649907004442E-2</v>
      </c>
      <c r="D6" s="3">
        <v>2.2418163197963314E-2</v>
      </c>
      <c r="E6" s="3">
        <v>0.43806713420695387</v>
      </c>
      <c r="F6" s="3">
        <v>0.31423268523339765</v>
      </c>
      <c r="G6" s="3">
        <v>0.14118558796226263</v>
      </c>
      <c r="H6" s="3">
        <v>0</v>
      </c>
      <c r="I6" s="3">
        <v>0</v>
      </c>
      <c r="J6" s="3">
        <v>3.9377794924180618E-3</v>
      </c>
      <c r="Q6">
        <v>555</v>
      </c>
      <c r="R6">
        <v>0.10425677256550193</v>
      </c>
      <c r="S6">
        <v>3.0290503683207508E-2</v>
      </c>
      <c r="T6">
        <v>0.37185337293059118</v>
      </c>
      <c r="U6">
        <v>0.35300721821029046</v>
      </c>
      <c r="V6">
        <v>0.12609564182540123</v>
      </c>
      <c r="W6">
        <v>2.4746716565461714E-23</v>
      </c>
      <c r="X6">
        <v>0</v>
      </c>
      <c r="Y6">
        <v>1.4496490785007627E-2</v>
      </c>
      <c r="AG6">
        <v>560</v>
      </c>
      <c r="AH6">
        <v>8.8344942277077509E-2</v>
      </c>
      <c r="AI6">
        <v>3.2895377835250449E-2</v>
      </c>
      <c r="AJ6">
        <v>0.26881750218323591</v>
      </c>
      <c r="AK6">
        <v>0.35869574346854605</v>
      </c>
      <c r="AL6">
        <v>6.8965588832222133E-2</v>
      </c>
      <c r="AM6">
        <v>1.1232095120809613E-25</v>
      </c>
      <c r="AN6">
        <v>0.1776924554126954</v>
      </c>
      <c r="AO6">
        <v>4.5883899909724022E-3</v>
      </c>
    </row>
    <row r="7" spans="1:41">
      <c r="A7" s="15"/>
      <c r="B7">
        <v>560</v>
      </c>
      <c r="C7">
        <v>8.7054982190684374E-2</v>
      </c>
      <c r="D7">
        <v>2.8265542071456432E-2</v>
      </c>
      <c r="E7">
        <v>0.37450042624950169</v>
      </c>
      <c r="F7">
        <v>0.43286033787925077</v>
      </c>
      <c r="G7">
        <v>7.7049561854229523E-2</v>
      </c>
      <c r="H7">
        <v>0</v>
      </c>
      <c r="I7">
        <v>0</v>
      </c>
      <c r="J7">
        <v>2.6914975487709448E-4</v>
      </c>
      <c r="Q7">
        <v>560</v>
      </c>
      <c r="R7">
        <v>9.978632374492992E-2</v>
      </c>
      <c r="S7">
        <v>2.9207074308211987E-2</v>
      </c>
      <c r="T7">
        <v>0.35522028066590139</v>
      </c>
      <c r="U7">
        <v>0.37509957090903046</v>
      </c>
      <c r="V7">
        <v>0.10204007618371264</v>
      </c>
      <c r="W7">
        <v>2.1050284472716454E-26</v>
      </c>
      <c r="X7">
        <v>0</v>
      </c>
      <c r="Y7">
        <v>3.8646674188213583E-2</v>
      </c>
      <c r="AG7">
        <v>570</v>
      </c>
      <c r="AH7">
        <v>8.8477164842506784E-2</v>
      </c>
      <c r="AI7">
        <v>3.7677257576413208E-2</v>
      </c>
      <c r="AJ7">
        <v>0.26117760130172446</v>
      </c>
      <c r="AK7">
        <v>0.37142394493240449</v>
      </c>
      <c r="AL7">
        <v>6.4346577733456492E-2</v>
      </c>
      <c r="AM7">
        <v>3.7941347342279478E-25</v>
      </c>
      <c r="AN7">
        <v>0.17672912718059905</v>
      </c>
      <c r="AO7">
        <v>1.6832643289538602E-4</v>
      </c>
    </row>
    <row r="8" spans="1:41">
      <c r="A8" s="15"/>
      <c r="B8">
        <v>570</v>
      </c>
      <c r="C8" s="3">
        <v>8.7570013590475962E-2</v>
      </c>
      <c r="D8" s="3">
        <v>3.2402271567707537E-2</v>
      </c>
      <c r="E8" s="3">
        <v>0.36179331025581168</v>
      </c>
      <c r="F8" s="3">
        <v>0.44793374990380047</v>
      </c>
      <c r="G8" s="3">
        <v>6.9582810757253269E-2</v>
      </c>
      <c r="H8" s="3">
        <v>0</v>
      </c>
      <c r="I8" s="3">
        <v>0</v>
      </c>
      <c r="J8" s="3">
        <v>7.178439249513061E-4</v>
      </c>
      <c r="Q8">
        <v>570</v>
      </c>
      <c r="R8">
        <v>0.10410774495490169</v>
      </c>
      <c r="S8">
        <v>3.9615712067616445E-2</v>
      </c>
      <c r="T8">
        <v>0.33042384306606226</v>
      </c>
      <c r="U8">
        <v>0.41140705014274515</v>
      </c>
      <c r="V8">
        <v>9.1688589430381939E-2</v>
      </c>
      <c r="W8">
        <v>3.7300332587721377E-25</v>
      </c>
      <c r="X8">
        <v>0</v>
      </c>
      <c r="Y8">
        <v>2.2757060338292515E-2</v>
      </c>
      <c r="AG8">
        <v>580</v>
      </c>
      <c r="AH8">
        <v>8.7781399607353483E-2</v>
      </c>
      <c r="AI8">
        <v>4.2586726541399909E-2</v>
      </c>
      <c r="AJ8">
        <v>0.25237659386732419</v>
      </c>
      <c r="AK8">
        <v>0.38383664732780742</v>
      </c>
      <c r="AL8">
        <v>5.8314275101179092E-2</v>
      </c>
      <c r="AM8">
        <v>7.7059829938235024E-25</v>
      </c>
      <c r="AN8">
        <v>0.17476684443156013</v>
      </c>
      <c r="AO8">
        <v>3.3751312337560461E-4</v>
      </c>
    </row>
    <row r="9" spans="1:41">
      <c r="A9" s="15"/>
      <c r="B9">
        <v>580</v>
      </c>
      <c r="C9">
        <v>8.7862594329303503E-2</v>
      </c>
      <c r="D9">
        <v>3.6882356132895415E-2</v>
      </c>
      <c r="E9">
        <v>0.35028040029063334</v>
      </c>
      <c r="F9">
        <v>0.4619886244960329</v>
      </c>
      <c r="G9">
        <v>6.2938775175113329E-2</v>
      </c>
      <c r="H9">
        <v>0</v>
      </c>
      <c r="I9">
        <v>0</v>
      </c>
      <c r="J9">
        <v>4.7249576021404716E-5</v>
      </c>
      <c r="Q9">
        <v>580</v>
      </c>
      <c r="R9">
        <v>0.10570067997247742</v>
      </c>
      <c r="S9">
        <v>4.6921589053249779E-2</v>
      </c>
      <c r="T9">
        <v>0.32096043440228583</v>
      </c>
      <c r="U9">
        <v>0.44529230671685427</v>
      </c>
      <c r="V9">
        <v>8.0300336160822286E-2</v>
      </c>
      <c r="W9">
        <v>5.4136909103185658E-25</v>
      </c>
      <c r="X9">
        <v>0</v>
      </c>
      <c r="Y9">
        <v>8.2465369431030755E-4</v>
      </c>
      <c r="AG9">
        <v>600</v>
      </c>
      <c r="AH9">
        <v>8.5451807956926043E-2</v>
      </c>
      <c r="AI9">
        <v>5.2979706600304981E-2</v>
      </c>
      <c r="AJ9">
        <v>0.23624780165668482</v>
      </c>
      <c r="AK9">
        <v>0.40866264257961932</v>
      </c>
      <c r="AL9">
        <v>4.5649677218521444E-2</v>
      </c>
      <c r="AM9">
        <v>2.6132394925950725E-24</v>
      </c>
      <c r="AN9">
        <v>0.17090584612059845</v>
      </c>
      <c r="AO9">
        <v>1.0251786734489086E-4</v>
      </c>
    </row>
    <row r="10" spans="1:41">
      <c r="A10" s="15"/>
      <c r="B10">
        <v>600</v>
      </c>
      <c r="C10">
        <v>8.7052714386240806E-2</v>
      </c>
      <c r="D10">
        <v>4.6562175855092543E-2</v>
      </c>
      <c r="E10">
        <v>0.32813848058232387</v>
      </c>
      <c r="F10">
        <v>0.48817759131085403</v>
      </c>
      <c r="G10">
        <v>4.918036839499277E-2</v>
      </c>
      <c r="H10">
        <v>0</v>
      </c>
      <c r="I10">
        <v>0</v>
      </c>
      <c r="J10">
        <v>8.886694704959957E-4</v>
      </c>
      <c r="Q10">
        <v>590</v>
      </c>
      <c r="R10">
        <v>0.10452953424777733</v>
      </c>
      <c r="S10">
        <v>5.1998603567468417E-2</v>
      </c>
      <c r="T10">
        <v>0.31220309486132952</v>
      </c>
      <c r="U10">
        <v>0.45584558406117648</v>
      </c>
      <c r="V10">
        <v>7.4584274078229096E-2</v>
      </c>
      <c r="W10">
        <v>4.2313820055974574E-24</v>
      </c>
      <c r="X10">
        <v>0</v>
      </c>
      <c r="Y10">
        <v>8.3890918401918529E-4</v>
      </c>
      <c r="AG10">
        <v>650</v>
      </c>
      <c r="AH10">
        <v>7.6430883135592667E-2</v>
      </c>
      <c r="AI10">
        <v>7.8420757649525136E-2</v>
      </c>
      <c r="AJ10">
        <v>0.207997196038743</v>
      </c>
      <c r="AK10">
        <v>0.45312988890845268</v>
      </c>
      <c r="AL10">
        <v>2.0860233493964892E-2</v>
      </c>
      <c r="AM10">
        <v>4.6825429723352402E-23</v>
      </c>
      <c r="AN10">
        <v>0.16316103884208272</v>
      </c>
      <c r="AO10">
        <v>1.9316388122616487E-9</v>
      </c>
    </row>
    <row r="11" spans="1:41">
      <c r="A11" s="15"/>
      <c r="B11">
        <v>620</v>
      </c>
      <c r="C11">
        <v>8.5377479844853763E-2</v>
      </c>
      <c r="D11">
        <v>5.6474525176652648E-2</v>
      </c>
      <c r="E11">
        <v>0.30999230118770577</v>
      </c>
      <c r="F11">
        <v>0.51093308056743902</v>
      </c>
      <c r="G11">
        <v>3.7222130834149186E-2</v>
      </c>
      <c r="H11">
        <v>0</v>
      </c>
      <c r="I11">
        <v>0</v>
      </c>
      <c r="J11">
        <v>4.8238919954599386E-7</v>
      </c>
      <c r="Q11">
        <v>600</v>
      </c>
      <c r="R11">
        <v>0.10306974333771241</v>
      </c>
      <c r="S11">
        <v>5.8937811343102484E-2</v>
      </c>
      <c r="T11">
        <v>0.29857623327859101</v>
      </c>
      <c r="U11">
        <v>0.47374492355466669</v>
      </c>
      <c r="V11">
        <v>6.4762246621065819E-2</v>
      </c>
      <c r="W11">
        <v>3.6188806916493575E-24</v>
      </c>
      <c r="X11">
        <v>0</v>
      </c>
      <c r="Y11">
        <v>9.0904186486170783E-4</v>
      </c>
      <c r="AG11" s="3">
        <v>700</v>
      </c>
      <c r="AH11">
        <v>6.7067031171285818E-2</v>
      </c>
      <c r="AI11">
        <v>9.6764784880883609E-2</v>
      </c>
      <c r="AJ11">
        <v>0.19695156871031605</v>
      </c>
      <c r="AK11">
        <v>0.47299239614044991</v>
      </c>
      <c r="AL11">
        <v>7.3083503216340232E-3</v>
      </c>
      <c r="AM11">
        <v>9.5249810335252691E-22</v>
      </c>
      <c r="AN11">
        <v>0.15891586877540076</v>
      </c>
      <c r="AO11">
        <v>2.9783088305643198E-14</v>
      </c>
    </row>
    <row r="12" spans="1:41">
      <c r="A12" s="15"/>
      <c r="B12">
        <v>633.5</v>
      </c>
      <c r="C12">
        <v>8.3596748884139552E-2</v>
      </c>
      <c r="D12">
        <v>6.3076025497944013E-2</v>
      </c>
      <c r="E12">
        <v>0.29972118973680739</v>
      </c>
      <c r="F12">
        <v>0.52361518414141628</v>
      </c>
      <c r="G12">
        <v>2.9990740563413623E-2</v>
      </c>
      <c r="H12">
        <v>0</v>
      </c>
      <c r="I12">
        <v>0</v>
      </c>
      <c r="J12">
        <v>1.1117627902157059E-7</v>
      </c>
      <c r="Q12">
        <v>650</v>
      </c>
      <c r="R12">
        <v>9.2082380188334187E-2</v>
      </c>
      <c r="S12">
        <v>8.9413459454611655E-2</v>
      </c>
      <c r="T12">
        <v>0.25726199149201973</v>
      </c>
      <c r="U12">
        <v>0.53040189222640743</v>
      </c>
      <c r="V12">
        <v>3.0840227199426262E-2</v>
      </c>
      <c r="W12">
        <v>3.8124544555170345E-23</v>
      </c>
      <c r="X12">
        <v>0</v>
      </c>
      <c r="Y12">
        <v>4.9439200830248117E-8</v>
      </c>
      <c r="AG12" s="3">
        <v>750</v>
      </c>
      <c r="AH12">
        <v>5.9538469948893905E-2</v>
      </c>
      <c r="AI12">
        <v>0.10762766567410645</v>
      </c>
      <c r="AJ12">
        <v>0.19690213090792352</v>
      </c>
      <c r="AK12" s="1">
        <v>0.47631552952193135</v>
      </c>
      <c r="AL12">
        <v>2.2765589689267623E-3</v>
      </c>
      <c r="AM12">
        <v>1.8087071201443881E-20</v>
      </c>
      <c r="AN12">
        <v>0.15733964497821804</v>
      </c>
      <c r="AO12">
        <v>0</v>
      </c>
    </row>
    <row r="13" spans="1:41">
      <c r="A13" s="15"/>
      <c r="B13">
        <v>650</v>
      </c>
      <c r="C13">
        <v>8.1051670414993213E-2</v>
      </c>
      <c r="D13">
        <v>7.0689844348490141E-2</v>
      </c>
      <c r="E13">
        <v>0.2895945432530222</v>
      </c>
      <c r="F13">
        <v>0.53627620462791714</v>
      </c>
      <c r="G13">
        <v>2.2387733085779318E-2</v>
      </c>
      <c r="H13">
        <v>0</v>
      </c>
      <c r="I13">
        <v>0</v>
      </c>
      <c r="J13">
        <v>4.26979795033616E-9</v>
      </c>
      <c r="Q13" s="3">
        <v>700</v>
      </c>
      <c r="R13">
        <v>8.0265958913978919E-2</v>
      </c>
      <c r="S13">
        <v>0.11282135230196717</v>
      </c>
      <c r="T13">
        <v>0.23816787784991936</v>
      </c>
      <c r="U13">
        <v>0.55722366294878578</v>
      </c>
      <c r="V13">
        <v>1.1521147984522969E-2</v>
      </c>
      <c r="W13">
        <v>7.2312684221764605E-22</v>
      </c>
      <c r="X13">
        <v>0</v>
      </c>
      <c r="Y13">
        <v>8.2602562585481297E-13</v>
      </c>
      <c r="AG13" s="3">
        <v>800</v>
      </c>
      <c r="AH13">
        <v>5.3445694907220079E-2</v>
      </c>
      <c r="AI13">
        <v>0.11474528010102569</v>
      </c>
      <c r="AJ13">
        <v>0.20066572552858489</v>
      </c>
      <c r="AK13">
        <v>0.47355814084314729</v>
      </c>
      <c r="AL13">
        <v>7.2998316937453579E-4</v>
      </c>
      <c r="AM13">
        <v>2.8478472022216628E-19</v>
      </c>
      <c r="AN13">
        <v>0.15685517545064742</v>
      </c>
      <c r="AO13">
        <v>0</v>
      </c>
    </row>
    <row r="14" spans="1:41">
      <c r="A14" s="15"/>
      <c r="B14">
        <v>680</v>
      </c>
      <c r="C14">
        <v>7.5992389950140335E-2</v>
      </c>
      <c r="D14">
        <v>8.2514747766021621E-2</v>
      </c>
      <c r="E14">
        <v>0.27773976565194203</v>
      </c>
      <c r="F14">
        <v>0.5515138032272402</v>
      </c>
      <c r="G14">
        <v>1.2239293325612507E-2</v>
      </c>
      <c r="H14">
        <v>0</v>
      </c>
      <c r="I14">
        <v>0</v>
      </c>
      <c r="J14">
        <v>7.9043176155651316E-11</v>
      </c>
      <c r="Q14" s="3">
        <v>750</v>
      </c>
      <c r="R14">
        <v>7.0861148285323458E-2</v>
      </c>
      <c r="S14">
        <v>0.12690624864777286</v>
      </c>
      <c r="T14">
        <v>0.23509245989308625</v>
      </c>
      <c r="U14" s="1">
        <v>0.56341913806231148</v>
      </c>
      <c r="V14">
        <v>3.7210051115059242E-3</v>
      </c>
      <c r="W14">
        <v>1.3170351881536968E-20</v>
      </c>
      <c r="X14">
        <v>0</v>
      </c>
      <c r="Y14">
        <v>5.592426578621201E-18</v>
      </c>
      <c r="AG14" s="3">
        <v>850</v>
      </c>
      <c r="AH14">
        <v>4.8299947855001427E-2</v>
      </c>
      <c r="AI14">
        <v>0.12020610970036963</v>
      </c>
      <c r="AJ14">
        <v>0.20509537588263238</v>
      </c>
      <c r="AK14">
        <v>0.4694378442627607</v>
      </c>
      <c r="AL14">
        <v>2.5449496170736367E-4</v>
      </c>
      <c r="AM14">
        <v>3.5882700048370382E-18</v>
      </c>
      <c r="AN14">
        <v>0.15670622733740183</v>
      </c>
      <c r="AO14">
        <v>1.2661913894165833E-13</v>
      </c>
    </row>
    <row r="15" spans="1:41">
      <c r="A15" s="15"/>
      <c r="B15" s="3">
        <v>700</v>
      </c>
      <c r="C15">
        <v>7.2647516642203883E-2</v>
      </c>
      <c r="D15">
        <v>8.8771322784472945E-2</v>
      </c>
      <c r="E15">
        <v>0.27380538478962824</v>
      </c>
      <c r="F15">
        <v>0.55690403492420215</v>
      </c>
      <c r="G15">
        <v>7.8717408585089951E-3</v>
      </c>
      <c r="H15">
        <v>0</v>
      </c>
      <c r="I15">
        <v>0</v>
      </c>
      <c r="J15">
        <v>9.8383054455693202E-13</v>
      </c>
      <c r="Q15" s="3">
        <v>800</v>
      </c>
      <c r="R15">
        <v>6.3457684727468405E-2</v>
      </c>
      <c r="S15">
        <v>0.13581692565257894</v>
      </c>
      <c r="T15">
        <v>0.23847668759240548</v>
      </c>
      <c r="U15">
        <v>0.5610397193276262</v>
      </c>
      <c r="V15">
        <v>1.208982699921124E-3</v>
      </c>
      <c r="W15">
        <v>2.0416483364263947E-19</v>
      </c>
      <c r="X15">
        <v>0</v>
      </c>
      <c r="Y15">
        <v>0</v>
      </c>
      <c r="AG15" s="9">
        <v>900</v>
      </c>
      <c r="AH15">
        <v>4.3865518499020463E-2</v>
      </c>
      <c r="AI15">
        <v>0.12474474598508162</v>
      </c>
      <c r="AJ15">
        <v>0.20929297130983543</v>
      </c>
      <c r="AK15">
        <v>0.46534256109273991</v>
      </c>
      <c r="AL15">
        <v>9.723723307868903E-5</v>
      </c>
      <c r="AM15">
        <v>3.6535181229704535E-17</v>
      </c>
      <c r="AN15">
        <v>0.15665696588024153</v>
      </c>
      <c r="AO15">
        <v>2.4443035344759341E-15</v>
      </c>
    </row>
    <row r="16" spans="1:41">
      <c r="A16" s="15"/>
      <c r="B16" s="3">
        <v>750</v>
      </c>
      <c r="C16">
        <v>6.5056971967858396E-2</v>
      </c>
      <c r="D16">
        <v>9.9953311635287173E-2</v>
      </c>
      <c r="E16">
        <v>0.27241731902427785</v>
      </c>
      <c r="F16">
        <v>0.56008782277729474</v>
      </c>
      <c r="G16">
        <v>2.484574595281864E-3</v>
      </c>
      <c r="H16">
        <v>0</v>
      </c>
      <c r="I16">
        <v>0</v>
      </c>
      <c r="J16">
        <v>0</v>
      </c>
      <c r="Q16" s="3">
        <v>850</v>
      </c>
      <c r="R16">
        <v>5.7299183924832187E-2</v>
      </c>
      <c r="S16">
        <v>0.14244684664412752</v>
      </c>
      <c r="T16">
        <v>0.2433780678912752</v>
      </c>
      <c r="U16">
        <v>0.5564526191546979</v>
      </c>
      <c r="V16">
        <v>4.2328238506712427E-4</v>
      </c>
      <c r="W16">
        <v>2.559386546891802E-18</v>
      </c>
      <c r="X16">
        <v>0</v>
      </c>
      <c r="Y16">
        <v>0</v>
      </c>
      <c r="AG16" s="3">
        <v>950</v>
      </c>
      <c r="AH16">
        <v>4.0011971095047595E-2</v>
      </c>
      <c r="AI16">
        <v>0.12863588430638992</v>
      </c>
      <c r="AJ16">
        <v>0.21306108481077593</v>
      </c>
      <c r="AK16">
        <v>0.46161135503790812</v>
      </c>
      <c r="AL16">
        <v>4.0509121466845176E-5</v>
      </c>
      <c r="AM16">
        <v>3.0691898569216421E-16</v>
      </c>
      <c r="AN16">
        <v>0.15663919562841125</v>
      </c>
      <c r="AO16">
        <v>3.9797362584434101E-17</v>
      </c>
    </row>
    <row r="17" spans="1:41">
      <c r="A17" s="15"/>
      <c r="B17" s="3">
        <v>800</v>
      </c>
      <c r="C17">
        <v>5.8592439504831131E-2</v>
      </c>
      <c r="D17">
        <v>0.10753490782556548</v>
      </c>
      <c r="E17">
        <v>0.27608919216917749</v>
      </c>
      <c r="F17">
        <v>0.55697448149602091</v>
      </c>
      <c r="G17">
        <v>8.0897900440513189E-4</v>
      </c>
      <c r="H17">
        <v>0</v>
      </c>
      <c r="I17">
        <v>0</v>
      </c>
      <c r="J17">
        <v>0</v>
      </c>
      <c r="Q17" s="9">
        <v>900</v>
      </c>
      <c r="R17">
        <v>5.2022667228154573E-2</v>
      </c>
      <c r="S17">
        <v>0.14788015918256187</v>
      </c>
      <c r="T17">
        <v>0.24823646234326818</v>
      </c>
      <c r="U17">
        <v>0.55169875526387602</v>
      </c>
      <c r="V17">
        <v>1.619559821392271E-4</v>
      </c>
      <c r="W17">
        <v>2.6014543656198566E-17</v>
      </c>
      <c r="X17">
        <v>0</v>
      </c>
      <c r="Y17">
        <v>1.1105826391458499E-17</v>
      </c>
      <c r="AG17" s="3">
        <v>1000</v>
      </c>
      <c r="AH17">
        <v>3.6647490384276463E-2</v>
      </c>
      <c r="AI17">
        <v>0.13201510823916038</v>
      </c>
      <c r="AJ17">
        <v>0.21639205819882024</v>
      </c>
      <c r="AK17">
        <v>0.45829485681328019</v>
      </c>
      <c r="AL17">
        <v>1.8260259176577279E-5</v>
      </c>
      <c r="AM17">
        <v>2.1726275975577849E-15</v>
      </c>
      <c r="AN17">
        <v>0.15663222610528388</v>
      </c>
      <c r="AO17">
        <v>0</v>
      </c>
    </row>
    <row r="18" spans="1:41">
      <c r="A18" s="15"/>
      <c r="B18" s="3">
        <v>850</v>
      </c>
      <c r="C18" s="2">
        <v>5.2977811128052908E-2</v>
      </c>
      <c r="D18" s="2">
        <v>0.11335426964112694</v>
      </c>
      <c r="E18" s="2">
        <v>0.28054671249566704</v>
      </c>
      <c r="F18" s="2">
        <v>0.55283441552095269</v>
      </c>
      <c r="G18" s="2">
        <v>2.8679121420035423E-4</v>
      </c>
      <c r="H18" s="2">
        <v>3.4887247982479082E-18</v>
      </c>
      <c r="I18" s="2"/>
      <c r="J18" s="2">
        <v>0</v>
      </c>
      <c r="Q18" s="3">
        <v>950</v>
      </c>
      <c r="R18">
        <v>4.7447006603715869E-2</v>
      </c>
      <c r="S18">
        <v>0.15251249025352226</v>
      </c>
      <c r="T18">
        <v>0.25266100177698236</v>
      </c>
      <c r="U18">
        <v>0.54731199612784287</v>
      </c>
      <c r="V18">
        <v>6.7505237936436367E-5</v>
      </c>
      <c r="W18">
        <v>2.1840268763489235E-16</v>
      </c>
      <c r="X18">
        <v>0</v>
      </c>
      <c r="Y18">
        <v>0</v>
      </c>
    </row>
    <row r="19" spans="1:41">
      <c r="A19" s="15"/>
      <c r="B19" s="9">
        <v>900</v>
      </c>
      <c r="C19" s="2">
        <v>4.8214055545091165E-2</v>
      </c>
      <c r="D19" s="2">
        <v>0.11832349948814166</v>
      </c>
      <c r="E19" s="2">
        <v>0.28519305289554681</v>
      </c>
      <c r="F19" s="2">
        <v>0.54815871901896196</v>
      </c>
      <c r="G19" s="2">
        <v>1.1067305225831625E-4</v>
      </c>
      <c r="H19" s="2">
        <v>3.5224880396854424E-17</v>
      </c>
      <c r="I19" s="2"/>
      <c r="J19" s="2">
        <v>0</v>
      </c>
      <c r="Q19" s="3">
        <v>1000</v>
      </c>
      <c r="R19">
        <v>4.3455268203001864E-2</v>
      </c>
      <c r="S19">
        <v>0.15652647062477795</v>
      </c>
      <c r="T19">
        <v>0.25659342825625059</v>
      </c>
      <c r="U19">
        <v>0.54339439762893493</v>
      </c>
      <c r="V19">
        <v>3.0435287033086731E-5</v>
      </c>
      <c r="W19">
        <v>1.5456566347227576E-15</v>
      </c>
      <c r="X19">
        <v>0</v>
      </c>
      <c r="Y19">
        <v>0</v>
      </c>
    </row>
    <row r="20" spans="1:41">
      <c r="A20" s="15"/>
      <c r="B20" s="3">
        <v>950</v>
      </c>
      <c r="C20" s="2">
        <v>4.4004239924736642E-2</v>
      </c>
      <c r="D20" s="2">
        <v>0.12260814191040596</v>
      </c>
      <c r="E20" s="2">
        <v>0.28936011191566818</v>
      </c>
      <c r="F20" s="2">
        <v>0.54398097360028408</v>
      </c>
      <c r="G20" s="2">
        <v>4.6532648904933213E-5</v>
      </c>
      <c r="H20" s="2">
        <v>2.9351039687893917E-16</v>
      </c>
      <c r="I20" s="2"/>
      <c r="J20" s="2">
        <v>0</v>
      </c>
      <c r="Q20" s="3">
        <v>1050</v>
      </c>
    </row>
    <row r="21" spans="1:41">
      <c r="A21" s="15"/>
      <c r="B21" s="3">
        <v>1000</v>
      </c>
      <c r="C21" s="2">
        <v>4.0311949931750531E-2</v>
      </c>
      <c r="D21" s="2">
        <v>0.12633004853157861</v>
      </c>
      <c r="E21" s="2">
        <v>0.29303547900242416</v>
      </c>
      <c r="F21" s="2">
        <v>0.54030137732925443</v>
      </c>
      <c r="G21" s="2">
        <v>2.1145204990262888E-5</v>
      </c>
      <c r="H21" s="2">
        <v>2.0623403364812321E-15</v>
      </c>
      <c r="I21" s="2"/>
      <c r="J21" s="2">
        <v>0</v>
      </c>
      <c r="Q21" s="3"/>
      <c r="T21">
        <v>8.7054982190684374E-2</v>
      </c>
    </row>
    <row r="22" spans="1:41">
      <c r="A22" s="15"/>
      <c r="B22" s="3"/>
      <c r="Q22" s="3">
        <v>8.4748308749108631E-2</v>
      </c>
      <c r="R22">
        <v>8.5440463410430947E-2</v>
      </c>
      <c r="T22">
        <v>2.8265542071456432E-2</v>
      </c>
      <c r="V22">
        <v>0.10293268686705127</v>
      </c>
    </row>
    <row r="23" spans="1:41">
      <c r="A23" s="15"/>
      <c r="B23" s="1" t="s">
        <v>84</v>
      </c>
      <c r="C23" t="s">
        <v>69</v>
      </c>
      <c r="D23" t="s">
        <v>67</v>
      </c>
      <c r="Q23" s="3">
        <v>2.20533084832173E-2</v>
      </c>
      <c r="R23">
        <v>2.2583783100176998E-2</v>
      </c>
      <c r="T23">
        <v>0.37450042624950169</v>
      </c>
      <c r="V23">
        <v>2.7130502802805011E-2</v>
      </c>
    </row>
    <row r="24" spans="1:41">
      <c r="B24" t="s">
        <v>68</v>
      </c>
      <c r="C24" s="3" t="s">
        <v>53</v>
      </c>
      <c r="D24" s="3" t="s">
        <v>55</v>
      </c>
      <c r="E24" s="3" t="s">
        <v>57</v>
      </c>
      <c r="F24" s="3" t="s">
        <v>59</v>
      </c>
      <c r="G24" s="9" t="s">
        <v>13</v>
      </c>
      <c r="H24" s="3" t="s">
        <v>5</v>
      </c>
      <c r="I24" s="3" t="s">
        <v>4</v>
      </c>
      <c r="J24" s="3" t="s">
        <v>64</v>
      </c>
      <c r="Q24" s="3">
        <v>0.39724879523770146</v>
      </c>
      <c r="R24">
        <v>0.39443086668945843</v>
      </c>
      <c r="T24">
        <v>0.43286033787925077</v>
      </c>
      <c r="V24">
        <v>0.389012264453652</v>
      </c>
    </row>
    <row r="25" spans="1:41">
      <c r="B25">
        <v>560</v>
      </c>
      <c r="C25" s="3">
        <v>7.7650818194425542E-2</v>
      </c>
      <c r="D25" s="3">
        <v>2.6587836502125067E-2</v>
      </c>
      <c r="E25" s="3">
        <v>0.36551223097781838</v>
      </c>
      <c r="F25" s="3">
        <v>0.32808475486120148</v>
      </c>
      <c r="G25" s="3">
        <v>0.14586304056240521</v>
      </c>
      <c r="H25" s="3">
        <v>0</v>
      </c>
      <c r="I25" s="3">
        <v>0</v>
      </c>
      <c r="J25" s="3">
        <v>5.6301318902024389E-2</v>
      </c>
      <c r="Q25" s="3">
        <v>0.39712992727889374</v>
      </c>
      <c r="R25">
        <v>0.40906711616511593</v>
      </c>
      <c r="T25">
        <v>7.7049561854229523E-2</v>
      </c>
      <c r="V25">
        <v>0.32546804334483448</v>
      </c>
    </row>
    <row r="26" spans="1:41">
      <c r="B26">
        <v>565</v>
      </c>
      <c r="C26" s="3">
        <v>8.3227855266251163E-2</v>
      </c>
      <c r="D26" s="3">
        <v>3.121625630649609E-2</v>
      </c>
      <c r="E26" s="3">
        <v>0.33090302412067846</v>
      </c>
      <c r="F26" s="3">
        <v>0.41555319828947773</v>
      </c>
      <c r="G26" s="3">
        <v>0.10248938065863104</v>
      </c>
      <c r="H26" s="3">
        <v>0</v>
      </c>
      <c r="I26" s="3">
        <v>0</v>
      </c>
      <c r="J26" s="3">
        <v>3.6610285358465368E-2</v>
      </c>
      <c r="Q26" s="3">
        <v>9.3476239757649029E-2</v>
      </c>
      <c r="R26">
        <v>8.81639890814606E-2</v>
      </c>
      <c r="T26">
        <v>0</v>
      </c>
      <c r="V26">
        <v>0.1403663588932044</v>
      </c>
    </row>
    <row r="27" spans="1:41">
      <c r="B27">
        <v>570</v>
      </c>
      <c r="C27" s="3">
        <v>8.2272973855324533E-2</v>
      </c>
      <c r="D27" s="3">
        <v>3.1802218145576648E-2</v>
      </c>
      <c r="E27" s="3">
        <v>0.3285648370978228</v>
      </c>
      <c r="F27" s="3">
        <v>0.4263977548403376</v>
      </c>
      <c r="G27" s="3">
        <v>9.4940406689563495E-2</v>
      </c>
      <c r="H27" s="3">
        <v>0</v>
      </c>
      <c r="I27" s="3">
        <v>0</v>
      </c>
      <c r="J27" s="3">
        <v>3.6021809371374947E-2</v>
      </c>
      <c r="Q27" s="3">
        <v>0</v>
      </c>
      <c r="R27">
        <v>0</v>
      </c>
      <c r="T27">
        <v>0</v>
      </c>
      <c r="V27">
        <v>1.6092786015597066E-22</v>
      </c>
    </row>
    <row r="28" spans="1:41">
      <c r="B28">
        <v>580</v>
      </c>
      <c r="C28">
        <v>5.8136363131708946E-2</v>
      </c>
      <c r="D28">
        <v>5.3083493493610683E-2</v>
      </c>
      <c r="E28">
        <v>0.35149023150908687</v>
      </c>
      <c r="F28">
        <v>0.39164926507398978</v>
      </c>
      <c r="G28">
        <v>9.7192057847965543E-2</v>
      </c>
      <c r="H28">
        <v>0</v>
      </c>
      <c r="I28">
        <v>0</v>
      </c>
      <c r="J28">
        <v>4.8448588943638231E-2</v>
      </c>
      <c r="Q28" s="3">
        <v>0</v>
      </c>
      <c r="R28">
        <v>0</v>
      </c>
      <c r="T28">
        <v>2.6914975487709448E-4</v>
      </c>
      <c r="V28">
        <v>0</v>
      </c>
    </row>
    <row r="29" spans="1:41">
      <c r="B29">
        <v>600</v>
      </c>
      <c r="C29">
        <v>7.4840828227330972E-2</v>
      </c>
      <c r="D29">
        <v>5.6312584785838518E-2</v>
      </c>
      <c r="E29">
        <v>0.29999406192006067</v>
      </c>
      <c r="F29">
        <v>0.46820389510806343</v>
      </c>
      <c r="G29">
        <v>7.1290494330442961E-2</v>
      </c>
      <c r="H29">
        <v>0</v>
      </c>
      <c r="I29">
        <v>0</v>
      </c>
      <c r="J29">
        <v>2.9358135628263386E-2</v>
      </c>
      <c r="Q29" s="3">
        <v>5.3434204934298393E-3</v>
      </c>
      <c r="R29">
        <v>3.1378155335703772E-4</v>
      </c>
      <c r="V29">
        <v>1.5090143638452933E-2</v>
      </c>
    </row>
    <row r="30" spans="1:41">
      <c r="B30">
        <v>630</v>
      </c>
      <c r="C30">
        <v>8.1529020547099124E-2</v>
      </c>
      <c r="D30">
        <v>7.0703354316863892E-2</v>
      </c>
      <c r="E30">
        <v>0.26304980362210173</v>
      </c>
      <c r="F30">
        <v>0.53822434744954084</v>
      </c>
      <c r="G30">
        <v>4.6493003594026111E-2</v>
      </c>
      <c r="H30">
        <v>0</v>
      </c>
      <c r="I30">
        <v>0</v>
      </c>
      <c r="J30">
        <v>4.7047036843543578E-7</v>
      </c>
      <c r="Q30" s="3"/>
    </row>
    <row r="31" spans="1:41">
      <c r="B31">
        <v>633.5</v>
      </c>
      <c r="C31">
        <v>8.0898214646959385E-2</v>
      </c>
      <c r="D31">
        <v>7.2786861305153716E-2</v>
      </c>
      <c r="E31">
        <v>0.26015207491358788</v>
      </c>
      <c r="F31">
        <v>0.54195340362176303</v>
      </c>
      <c r="G31">
        <v>4.4209089693718846E-2</v>
      </c>
      <c r="H31">
        <v>0</v>
      </c>
      <c r="I31">
        <v>0</v>
      </c>
      <c r="J31">
        <v>3.5581881706608203E-7</v>
      </c>
      <c r="Q31" s="3"/>
    </row>
    <row r="32" spans="1:41">
      <c r="B32">
        <v>650</v>
      </c>
      <c r="C32">
        <v>7.7702469072496422E-2</v>
      </c>
      <c r="D32">
        <v>8.2317106980716911E-2</v>
      </c>
      <c r="E32">
        <v>0.24796431950095171</v>
      </c>
      <c r="F32">
        <v>0.55776106976041551</v>
      </c>
      <c r="G32">
        <v>3.4255033533311663E-2</v>
      </c>
      <c r="H32">
        <v>0</v>
      </c>
      <c r="I32">
        <v>0</v>
      </c>
      <c r="J32">
        <v>1.152107703692529E-9</v>
      </c>
      <c r="Q32" s="3"/>
    </row>
    <row r="33" spans="2:17">
      <c r="B33">
        <v>680</v>
      </c>
      <c r="C33">
        <v>7.1538898749483618E-2</v>
      </c>
      <c r="D33">
        <v>9.754516619929092E-2</v>
      </c>
      <c r="E33">
        <v>0.23211408589007584</v>
      </c>
      <c r="F33">
        <v>0.57879109493726721</v>
      </c>
      <c r="G33">
        <v>2.0010754215829062E-2</v>
      </c>
      <c r="H33">
        <v>0</v>
      </c>
      <c r="I33">
        <v>0</v>
      </c>
      <c r="J33">
        <v>8.0532572721102054E-12</v>
      </c>
      <c r="Q33" s="3"/>
    </row>
    <row r="34" spans="2:17">
      <c r="B34" s="3">
        <v>700</v>
      </c>
      <c r="C34" s="3">
        <v>6.760757445667763E-2</v>
      </c>
      <c r="D34" s="3">
        <v>0.10571341133147082</v>
      </c>
      <c r="E34" s="3">
        <v>0.22575574579128699</v>
      </c>
      <c r="F34" s="3">
        <v>0.58757053176125851</v>
      </c>
      <c r="G34" s="3">
        <v>1.3352736656229063E-2</v>
      </c>
      <c r="H34" s="3">
        <v>0</v>
      </c>
      <c r="I34" s="3">
        <v>0</v>
      </c>
      <c r="J34" s="3">
        <v>3.0769084529745023E-12</v>
      </c>
      <c r="Q34" s="3"/>
    </row>
    <row r="35" spans="2:17">
      <c r="B35" s="3">
        <v>750</v>
      </c>
      <c r="C35">
        <v>5.9232163506730821E-2</v>
      </c>
      <c r="D35">
        <v>0.11976101517814138</v>
      </c>
      <c r="E35">
        <v>0.22035583111572202</v>
      </c>
      <c r="F35" s="1">
        <v>0.59621169956134867</v>
      </c>
      <c r="G35">
        <v>4.4392906380571855E-3</v>
      </c>
      <c r="H35">
        <v>0</v>
      </c>
      <c r="I35">
        <v>0</v>
      </c>
      <c r="J35">
        <v>1.0182547545308229E-17</v>
      </c>
      <c r="Q35" s="3"/>
    </row>
    <row r="36" spans="2:17">
      <c r="B36" s="3">
        <v>800</v>
      </c>
      <c r="C36">
        <v>5.2647409630063931E-2</v>
      </c>
      <c r="D36">
        <v>0.12823994328028476</v>
      </c>
      <c r="E36">
        <v>0.22234044758766072</v>
      </c>
      <c r="F36">
        <v>0.59530946836110998</v>
      </c>
      <c r="G36">
        <v>1.4627311408806523E-3</v>
      </c>
      <c r="H36">
        <v>0</v>
      </c>
      <c r="I36">
        <v>0</v>
      </c>
      <c r="J36">
        <v>0</v>
      </c>
      <c r="Q36" s="3"/>
    </row>
    <row r="37" spans="2:17">
      <c r="B37" s="3">
        <v>850</v>
      </c>
      <c r="C37">
        <v>4.7226250379676621E-2</v>
      </c>
      <c r="D37">
        <v>0.13426364533116122</v>
      </c>
      <c r="E37">
        <v>0.22629828860828868</v>
      </c>
      <c r="F37">
        <v>0.59169593751219007</v>
      </c>
      <c r="G37">
        <v>5.1587816868340741E-4</v>
      </c>
      <c r="H37">
        <v>0</v>
      </c>
      <c r="I37">
        <v>0</v>
      </c>
      <c r="J37">
        <v>0</v>
      </c>
      <c r="Q37" s="3"/>
    </row>
    <row r="38" spans="2:17">
      <c r="B38" s="9">
        <v>900</v>
      </c>
      <c r="C38">
        <v>4.262634678512859E-2</v>
      </c>
      <c r="D38">
        <v>0.13906560951366573</v>
      </c>
      <c r="E38">
        <v>0.23040747363208525</v>
      </c>
      <c r="F38">
        <v>0.58770221568151149</v>
      </c>
      <c r="G38">
        <v>1.9835438760893665E-4</v>
      </c>
      <c r="H38">
        <v>0</v>
      </c>
      <c r="I38">
        <v>0</v>
      </c>
      <c r="J38">
        <v>0</v>
      </c>
      <c r="Q38" s="3"/>
    </row>
    <row r="39" spans="2:17">
      <c r="B39" s="3">
        <v>950</v>
      </c>
      <c r="C39">
        <v>3.8671423981509641E-2</v>
      </c>
      <c r="D39">
        <v>0.14309393757367322</v>
      </c>
      <c r="E39">
        <v>0.23418412652733195</v>
      </c>
      <c r="F39">
        <v>0.58396750864705826</v>
      </c>
      <c r="G39">
        <v>8.3003270426893801E-5</v>
      </c>
      <c r="H39">
        <v>0</v>
      </c>
      <c r="I39">
        <v>0</v>
      </c>
      <c r="J39">
        <v>1.0094612080991371E-17</v>
      </c>
      <c r="Q39" s="3"/>
    </row>
    <row r="40" spans="2:17">
      <c r="B40" s="3">
        <v>1000</v>
      </c>
      <c r="C40" s="3">
        <v>3.5247794059024708E-2</v>
      </c>
      <c r="D40" s="3">
        <v>0.14654649104920994</v>
      </c>
      <c r="E40" s="3">
        <v>0.23753751353526259</v>
      </c>
      <c r="F40" s="3">
        <v>0.58063064938372866</v>
      </c>
      <c r="G40" s="3">
        <v>3.7551972774116325E-5</v>
      </c>
      <c r="H40" s="3">
        <v>0</v>
      </c>
      <c r="I40" s="3">
        <v>0</v>
      </c>
      <c r="J40" s="3">
        <v>0</v>
      </c>
      <c r="Q40" s="3"/>
    </row>
    <row r="41" spans="2:17">
      <c r="Q41" s="3"/>
    </row>
    <row r="42" spans="2:17">
      <c r="B42" s="1" t="s">
        <v>85</v>
      </c>
      <c r="C42" t="s">
        <v>69</v>
      </c>
      <c r="D42" t="s">
        <v>67</v>
      </c>
      <c r="Q42" s="3"/>
    </row>
    <row r="43" spans="2:17">
      <c r="B43" t="s">
        <v>68</v>
      </c>
      <c r="C43" s="3" t="s">
        <v>53</v>
      </c>
      <c r="D43" s="3" t="s">
        <v>55</v>
      </c>
      <c r="E43" s="3" t="s">
        <v>57</v>
      </c>
      <c r="F43" s="3" t="s">
        <v>59</v>
      </c>
      <c r="G43" s="9" t="s">
        <v>13</v>
      </c>
      <c r="H43" s="3" t="s">
        <v>70</v>
      </c>
      <c r="I43" s="3" t="s">
        <v>4</v>
      </c>
      <c r="J43" s="3" t="s">
        <v>15</v>
      </c>
      <c r="Q43" s="3"/>
    </row>
    <row r="44" spans="2:17">
      <c r="B44">
        <v>650</v>
      </c>
      <c r="C44" s="2"/>
      <c r="D44" s="2"/>
      <c r="E44" s="2"/>
      <c r="F44" s="2"/>
      <c r="G44" s="2"/>
      <c r="H44" s="2"/>
      <c r="I44" s="2"/>
      <c r="J44" s="2"/>
      <c r="Q44" s="3"/>
    </row>
    <row r="45" spans="2:17">
      <c r="B45">
        <v>660</v>
      </c>
      <c r="C45">
        <v>1.2972915288814007E-2</v>
      </c>
      <c r="D45">
        <v>7.2716326323561634E-2</v>
      </c>
      <c r="E45">
        <v>7.5062478017338286E-2</v>
      </c>
      <c r="F45">
        <v>0.57717353347462219</v>
      </c>
      <c r="G45">
        <v>0.10819358155033958</v>
      </c>
      <c r="H45">
        <v>0</v>
      </c>
      <c r="I45">
        <v>0</v>
      </c>
      <c r="J45">
        <v>0.15388116534532442</v>
      </c>
      <c r="Q45" s="3"/>
    </row>
    <row r="46" spans="2:17">
      <c r="B46">
        <v>670</v>
      </c>
      <c r="C46">
        <v>6.8156693224382696E-3</v>
      </c>
      <c r="D46">
        <v>7.9910153518892607E-2</v>
      </c>
      <c r="E46">
        <v>7.8074702054822961E-2</v>
      </c>
      <c r="F46">
        <v>0.5786929095079929</v>
      </c>
      <c r="G46">
        <v>0.10065667976507237</v>
      </c>
      <c r="H46">
        <v>0</v>
      </c>
      <c r="I46">
        <v>0</v>
      </c>
      <c r="J46">
        <v>0.15584988583078097</v>
      </c>
      <c r="Q46" s="3"/>
    </row>
    <row r="47" spans="2:17">
      <c r="B47">
        <v>680</v>
      </c>
      <c r="C47">
        <v>1.4730325330911601E-2</v>
      </c>
      <c r="D47">
        <v>7.8853137052786182E-2</v>
      </c>
      <c r="E47">
        <v>6.1685660104970994E-2</v>
      </c>
      <c r="F47">
        <v>0.59836597484894849</v>
      </c>
      <c r="G47">
        <v>9.49728020719912E-2</v>
      </c>
      <c r="H47">
        <v>0</v>
      </c>
      <c r="I47">
        <v>0</v>
      </c>
      <c r="J47">
        <v>0.15139210059039163</v>
      </c>
      <c r="Q47" s="3"/>
    </row>
    <row r="48" spans="2:17">
      <c r="B48">
        <v>690</v>
      </c>
      <c r="C48">
        <v>1.358975791703626E-2</v>
      </c>
      <c r="D48">
        <v>8.4843484006102504E-2</v>
      </c>
      <c r="E48">
        <v>5.5900777204119984E-2</v>
      </c>
      <c r="F48">
        <v>0.60826120872068912</v>
      </c>
      <c r="G48">
        <v>8.7728449648332971E-2</v>
      </c>
      <c r="H48">
        <v>0</v>
      </c>
      <c r="I48">
        <v>0</v>
      </c>
      <c r="J48">
        <v>0.14967632250371909</v>
      </c>
      <c r="Q48" s="3"/>
    </row>
    <row r="49" spans="2:25">
      <c r="B49" s="3">
        <v>700</v>
      </c>
      <c r="C49">
        <v>1.2391059652230517E-2</v>
      </c>
      <c r="D49">
        <v>9.0503896998506778E-2</v>
      </c>
      <c r="E49">
        <v>5.0764764312570584E-2</v>
      </c>
      <c r="F49">
        <v>0.61713506876480451</v>
      </c>
      <c r="G49">
        <v>8.117703500015841E-2</v>
      </c>
      <c r="H49">
        <v>0</v>
      </c>
      <c r="I49">
        <v>0</v>
      </c>
      <c r="J49">
        <v>0.14802817527172921</v>
      </c>
      <c r="Q49" s="3"/>
    </row>
    <row r="50" spans="2:25">
      <c r="B50" s="3">
        <v>750</v>
      </c>
      <c r="C50">
        <v>7.0488836849293881E-3</v>
      </c>
      <c r="D50">
        <v>0.11457065612910225</v>
      </c>
      <c r="E50">
        <v>3.0005871442805594E-2</v>
      </c>
      <c r="F50">
        <v>0.65264553867401365</v>
      </c>
      <c r="G50">
        <v>5.5360032296006938E-2</v>
      </c>
      <c r="H50">
        <v>0</v>
      </c>
      <c r="I50">
        <v>0</v>
      </c>
      <c r="J50">
        <v>0.14036901777314226</v>
      </c>
    </row>
    <row r="51" spans="2:25">
      <c r="B51" s="3">
        <v>800</v>
      </c>
      <c r="C51">
        <v>3.5580937504240402E-3</v>
      </c>
      <c r="D51">
        <v>0.1298297006410043</v>
      </c>
      <c r="E51">
        <v>1.6843799727882122E-2</v>
      </c>
      <c r="F51">
        <v>0.67557682453264822</v>
      </c>
      <c r="G51">
        <v>3.8263907544071059E-2</v>
      </c>
      <c r="H51">
        <v>0</v>
      </c>
      <c r="I51">
        <v>0</v>
      </c>
      <c r="J51">
        <v>0.13592767380397022</v>
      </c>
      <c r="Q51" s="1" t="s">
        <v>71</v>
      </c>
      <c r="R51" t="s">
        <v>69</v>
      </c>
      <c r="S51" t="s">
        <v>73</v>
      </c>
    </row>
    <row r="52" spans="2:25">
      <c r="B52" s="3">
        <v>850</v>
      </c>
      <c r="C52">
        <v>1.7210346007251092E-3</v>
      </c>
      <c r="D52">
        <v>0.13777203242005984</v>
      </c>
      <c r="E52">
        <v>9.3649598305002944E-3</v>
      </c>
      <c r="F52">
        <v>0.68947691726547911</v>
      </c>
      <c r="G52">
        <v>2.7026715082036083E-2</v>
      </c>
      <c r="H52">
        <v>0</v>
      </c>
      <c r="I52">
        <v>0</v>
      </c>
      <c r="J52">
        <v>0.13463834080119963</v>
      </c>
      <c r="Q52" t="s">
        <v>68</v>
      </c>
      <c r="R52" s="3" t="s">
        <v>53</v>
      </c>
      <c r="S52" s="3" t="s">
        <v>55</v>
      </c>
      <c r="T52" s="3" t="s">
        <v>57</v>
      </c>
      <c r="U52" s="3" t="s">
        <v>59</v>
      </c>
      <c r="V52" s="9" t="s">
        <v>13</v>
      </c>
      <c r="W52" s="3" t="s">
        <v>70</v>
      </c>
      <c r="X52" s="3" t="s">
        <v>4</v>
      </c>
      <c r="Y52" s="3" t="s">
        <v>15</v>
      </c>
    </row>
    <row r="53" spans="2:25">
      <c r="B53" s="9">
        <v>900</v>
      </c>
      <c r="C53">
        <v>8.4107249891206932E-4</v>
      </c>
      <c r="D53">
        <v>0.14146904583311731</v>
      </c>
      <c r="E53">
        <v>5.3060466626457517E-3</v>
      </c>
      <c r="F53">
        <v>0.69777947835017973</v>
      </c>
      <c r="G53">
        <v>1.9600331227555227E-2</v>
      </c>
      <c r="H53">
        <v>0</v>
      </c>
      <c r="I53">
        <v>0</v>
      </c>
      <c r="J53">
        <v>0.1350040254275898</v>
      </c>
      <c r="Q53">
        <v>690</v>
      </c>
    </row>
    <row r="54" spans="2:25">
      <c r="B54" s="3">
        <v>950</v>
      </c>
      <c r="C54">
        <v>4.2586740945509767E-4</v>
      </c>
      <c r="D54">
        <v>0.14307841062470983</v>
      </c>
      <c r="E54">
        <v>3.1041925879546984E-3</v>
      </c>
      <c r="F54">
        <v>0.70282713134889585</v>
      </c>
      <c r="G54">
        <v>1.4620183110511558E-2</v>
      </c>
      <c r="H54">
        <v>0</v>
      </c>
      <c r="I54">
        <v>0</v>
      </c>
      <c r="J54">
        <v>0.13594421491847294</v>
      </c>
      <c r="Q54" s="3">
        <v>700</v>
      </c>
      <c r="R54">
        <v>5.0428258709651816E-23</v>
      </c>
      <c r="S54">
        <v>-4.3687634952435604E-20</v>
      </c>
      <c r="T54">
        <v>4.3586778432537727E-20</v>
      </c>
      <c r="U54">
        <v>5.0428251949892852E-23</v>
      </c>
      <c r="V54">
        <v>1</v>
      </c>
    </row>
    <row r="55" spans="2:25">
      <c r="B55" s="3">
        <v>1000</v>
      </c>
      <c r="C55">
        <v>2.2533671212768307E-4</v>
      </c>
      <c r="D55">
        <v>0.14372812523919201</v>
      </c>
      <c r="E55">
        <v>1.8826397789353801E-3</v>
      </c>
      <c r="F55">
        <v>0.70599448333629922</v>
      </c>
      <c r="G55">
        <v>1.1215034548339544E-2</v>
      </c>
      <c r="H55">
        <v>0</v>
      </c>
      <c r="I55">
        <v>0</v>
      </c>
      <c r="J55">
        <v>0.13695438038510629</v>
      </c>
      <c r="Q55" s="3">
        <v>750</v>
      </c>
      <c r="R55">
        <v>1.7987530433635334E-2</v>
      </c>
      <c r="S55">
        <v>0.12933905233079848</v>
      </c>
      <c r="T55">
        <v>3.7710113763463225E-3</v>
      </c>
      <c r="U55">
        <v>0.47912877927295022</v>
      </c>
      <c r="V55">
        <v>0.36977362658626955</v>
      </c>
      <c r="Y55">
        <v>7.3523115333201799E-2</v>
      </c>
    </row>
    <row r="56" spans="2:25">
      <c r="Q56" s="3">
        <v>800</v>
      </c>
      <c r="R56" s="2">
        <v>1.7848948912777926E-2</v>
      </c>
      <c r="S56" s="2">
        <v>0.19899103637955193</v>
      </c>
      <c r="T56" s="2">
        <v>1.9669425575009485E-2</v>
      </c>
      <c r="U56" s="2">
        <v>0.71155356649491586</v>
      </c>
      <c r="V56" s="2">
        <v>4.9484147816259788E-2</v>
      </c>
      <c r="W56" s="2">
        <v>0</v>
      </c>
      <c r="X56" s="2">
        <v>0</v>
      </c>
      <c r="Y56" s="2">
        <v>2.452874821485151E-3</v>
      </c>
    </row>
    <row r="57" spans="2:25">
      <c r="Q57" s="3">
        <v>850</v>
      </c>
      <c r="R57">
        <v>9.0297942537315989E-3</v>
      </c>
      <c r="S57">
        <v>0.22063459786215583</v>
      </c>
      <c r="T57">
        <v>2.6636469739320177E-2</v>
      </c>
      <c r="U57">
        <v>0.73265885636902028</v>
      </c>
      <c r="V57">
        <v>1.4143602604712611E-2</v>
      </c>
      <c r="W57">
        <v>1.001747730130662E-20</v>
      </c>
      <c r="Y57">
        <v>-3.1033208289404251E-3</v>
      </c>
    </row>
    <row r="58" spans="2:25">
      <c r="Q58" s="9">
        <v>900</v>
      </c>
      <c r="R58">
        <v>6.0869804545781846E-3</v>
      </c>
      <c r="S58">
        <v>0.23095270450474051</v>
      </c>
      <c r="T58">
        <v>2.4339656815246268E-2</v>
      </c>
      <c r="U58">
        <v>0.7355405865340594</v>
      </c>
      <c r="V58">
        <v>6.1888347788210882E-3</v>
      </c>
      <c r="W58">
        <v>7.8921605842708357E-20</v>
      </c>
      <c r="Y58">
        <v>-3.1087630874453965E-3</v>
      </c>
    </row>
    <row r="59" spans="2:25">
      <c r="Q59" s="3">
        <v>950</v>
      </c>
      <c r="R59">
        <v>4.8592226997217474E-3</v>
      </c>
      <c r="S59">
        <v>0.2361170505469587</v>
      </c>
      <c r="T59">
        <v>2.2404168097390847E-2</v>
      </c>
      <c r="U59">
        <v>0.73642194281915729</v>
      </c>
      <c r="V59">
        <v>2.8804746720815636E-3</v>
      </c>
      <c r="W59">
        <v>5.2512905177973214E-19</v>
      </c>
      <c r="Y59">
        <v>-2.6828588353102587E-3</v>
      </c>
    </row>
    <row r="60" spans="2:25">
      <c r="B60" s="1" t="s">
        <v>74</v>
      </c>
      <c r="C60" t="s">
        <v>69</v>
      </c>
      <c r="D60" t="s">
        <v>67</v>
      </c>
      <c r="Q60" s="3">
        <v>1000</v>
      </c>
      <c r="R60">
        <v>4.1300260718844907E-3</v>
      </c>
      <c r="S60">
        <v>0.23861499543577877</v>
      </c>
      <c r="T60">
        <v>2.1649688361982326E-2</v>
      </c>
      <c r="U60">
        <v>0.7364702150033301</v>
      </c>
      <c r="V60">
        <v>1.3684966339167931E-3</v>
      </c>
      <c r="W60">
        <v>3.2740484580367528E-18</v>
      </c>
      <c r="Y60">
        <v>-2.2334215068924483E-3</v>
      </c>
    </row>
    <row r="61" spans="2:25">
      <c r="B61" t="s">
        <v>68</v>
      </c>
      <c r="C61" s="3" t="s">
        <v>53</v>
      </c>
      <c r="D61" s="3" t="s">
        <v>55</v>
      </c>
      <c r="E61" s="3" t="s">
        <v>57</v>
      </c>
      <c r="F61" s="3" t="s">
        <v>59</v>
      </c>
      <c r="G61" s="9" t="s">
        <v>13</v>
      </c>
      <c r="H61" s="3" t="s">
        <v>70</v>
      </c>
      <c r="I61" s="3" t="s">
        <v>4</v>
      </c>
      <c r="J61" s="3" t="s">
        <v>15</v>
      </c>
    </row>
    <row r="62" spans="2:25">
      <c r="B62">
        <v>615</v>
      </c>
      <c r="C62">
        <v>6.969255313782656E-2</v>
      </c>
      <c r="D62">
        <v>6.7780734594302131E-2</v>
      </c>
      <c r="E62">
        <v>0.1934899200435006</v>
      </c>
      <c r="F62">
        <v>0.48160931441083366</v>
      </c>
      <c r="G62">
        <v>0.12988210383853135</v>
      </c>
      <c r="H62">
        <v>0</v>
      </c>
      <c r="I62">
        <v>0</v>
      </c>
      <c r="J62">
        <v>5.7545373975005719E-2</v>
      </c>
    </row>
    <row r="63" spans="2:25">
      <c r="B63">
        <v>620</v>
      </c>
      <c r="C63">
        <v>7.0262025874621284E-2</v>
      </c>
      <c r="D63">
        <v>8.4175137314070281E-2</v>
      </c>
      <c r="E63">
        <v>0.17891958580209372</v>
      </c>
      <c r="F63">
        <v>0.54119201075365475</v>
      </c>
      <c r="G63">
        <v>0.11083277239843344</v>
      </c>
      <c r="H63">
        <v>0</v>
      </c>
      <c r="I63">
        <v>0</v>
      </c>
      <c r="J63">
        <v>1.4618467857126527E-2</v>
      </c>
    </row>
    <row r="64" spans="2:25">
      <c r="B64">
        <v>625</v>
      </c>
      <c r="C64">
        <v>6.9936441782761247E-2</v>
      </c>
      <c r="D64">
        <v>8.9868397448073581E-2</v>
      </c>
      <c r="E64">
        <v>0.1763502892817474</v>
      </c>
      <c r="F64">
        <v>0.55015716821397165</v>
      </c>
      <c r="G64">
        <v>0.1105197699300412</v>
      </c>
      <c r="H64">
        <v>0</v>
      </c>
      <c r="I64">
        <v>0</v>
      </c>
      <c r="J64">
        <v>3.1679333434048475E-3</v>
      </c>
    </row>
    <row r="65" spans="1:10">
      <c r="A65" s="15"/>
      <c r="B65">
        <v>630</v>
      </c>
      <c r="C65">
        <v>6.5927804373428642E-2</v>
      </c>
      <c r="D65">
        <v>9.3016821273309513E-2</v>
      </c>
      <c r="E65">
        <v>0.16490949425029011</v>
      </c>
      <c r="F65">
        <v>0.56944555498491933</v>
      </c>
      <c r="G65">
        <v>8.7568053697928361E-2</v>
      </c>
      <c r="H65">
        <v>0</v>
      </c>
      <c r="I65">
        <v>0</v>
      </c>
      <c r="J65">
        <v>1.9132271420124101E-2</v>
      </c>
    </row>
    <row r="66" spans="1:10">
      <c r="A66" s="15"/>
      <c r="B66">
        <v>640</v>
      </c>
      <c r="C66">
        <v>6.4709452181326052E-2</v>
      </c>
      <c r="D66">
        <v>0.10019330273322494</v>
      </c>
      <c r="E66">
        <v>0.16178614575239794</v>
      </c>
      <c r="F66">
        <v>0.5700120495250397</v>
      </c>
      <c r="G66">
        <v>9.0732314017601914E-2</v>
      </c>
      <c r="H66">
        <v>0</v>
      </c>
      <c r="I66">
        <v>0</v>
      </c>
      <c r="J66">
        <v>1.2566735790409476E-2</v>
      </c>
    </row>
    <row r="67" spans="1:10">
      <c r="A67" s="15"/>
      <c r="B67">
        <v>650</v>
      </c>
      <c r="C67">
        <v>6.2606682172223801E-2</v>
      </c>
      <c r="D67">
        <v>0.11176213520629427</v>
      </c>
      <c r="E67">
        <v>0.15455409664166464</v>
      </c>
      <c r="F67">
        <v>0.58209796498064592</v>
      </c>
      <c r="G67">
        <v>8.845849807998564E-2</v>
      </c>
      <c r="H67">
        <v>0</v>
      </c>
      <c r="I67">
        <v>0</v>
      </c>
      <c r="J67">
        <v>5.206229191856834E-4</v>
      </c>
    </row>
    <row r="68" spans="1:10">
      <c r="A68" s="15"/>
      <c r="B68">
        <v>670</v>
      </c>
      <c r="C68">
        <v>5.6037783779193426E-2</v>
      </c>
      <c r="D68">
        <v>0.1281241051340429</v>
      </c>
      <c r="E68">
        <v>0.1386257143473183</v>
      </c>
      <c r="F68">
        <v>0.60888179788123575</v>
      </c>
      <c r="G68">
        <v>6.8209195432095651E-2</v>
      </c>
      <c r="H68">
        <v>0</v>
      </c>
      <c r="I68">
        <v>0</v>
      </c>
      <c r="J68">
        <v>1.2140342611391533E-4</v>
      </c>
    </row>
    <row r="69" spans="1:10">
      <c r="A69" s="15"/>
      <c r="B69">
        <v>680</v>
      </c>
      <c r="C69">
        <v>5.2889492848631404E-2</v>
      </c>
      <c r="D69">
        <v>0.1358978517583348</v>
      </c>
      <c r="E69">
        <v>0.13178532452716976</v>
      </c>
      <c r="F69">
        <v>0.6192282749657736</v>
      </c>
      <c r="G69">
        <v>6.0199055900090281E-2</v>
      </c>
      <c r="H69">
        <v>0</v>
      </c>
      <c r="I69">
        <v>0</v>
      </c>
      <c r="J69">
        <v>0</v>
      </c>
    </row>
    <row r="70" spans="1:10">
      <c r="A70" s="15"/>
      <c r="B70" s="3">
        <v>700</v>
      </c>
      <c r="C70">
        <v>4.6933410284249556E-2</v>
      </c>
      <c r="D70">
        <v>0.14996646209529113</v>
      </c>
      <c r="E70">
        <v>0.11988705969526785</v>
      </c>
      <c r="F70">
        <v>0.63762835712601951</v>
      </c>
      <c r="G70">
        <v>4.5582691008257424E-2</v>
      </c>
      <c r="H70">
        <v>0</v>
      </c>
      <c r="I70">
        <v>0</v>
      </c>
      <c r="J70">
        <v>2.0197909147985293E-6</v>
      </c>
    </row>
    <row r="71" spans="1:10">
      <c r="A71" s="15"/>
      <c r="B71" s="3">
        <v>750</v>
      </c>
      <c r="C71">
        <v>3.5321227705264253E-2</v>
      </c>
      <c r="D71">
        <v>0.17571110209915511</v>
      </c>
      <c r="E71">
        <v>0.1004076474418894</v>
      </c>
      <c r="F71">
        <v>0.66841821453066563</v>
      </c>
      <c r="G71">
        <v>2.0141808123891047E-2</v>
      </c>
      <c r="H71">
        <v>0</v>
      </c>
      <c r="I71">
        <v>0</v>
      </c>
      <c r="J71">
        <v>9.9134459387546854E-11</v>
      </c>
    </row>
    <row r="72" spans="1:10">
      <c r="A72" s="15"/>
      <c r="B72" s="3">
        <v>800</v>
      </c>
      <c r="C72">
        <v>2.8250522958982054E-2</v>
      </c>
      <c r="D72">
        <v>0.18962726968563773</v>
      </c>
      <c r="E72">
        <v>9.2418333222774054E-2</v>
      </c>
      <c r="F72">
        <v>0.68188390089309603</v>
      </c>
      <c r="G72">
        <v>7.8199732395034856E-3</v>
      </c>
      <c r="H72">
        <v>0</v>
      </c>
      <c r="I72">
        <v>0</v>
      </c>
      <c r="J72">
        <v>6.6464980631228374E-15</v>
      </c>
    </row>
    <row r="73" spans="1:10">
      <c r="A73" s="15"/>
      <c r="B73" s="3">
        <v>850</v>
      </c>
      <c r="C73">
        <v>2.3937838287254015E-2</v>
      </c>
      <c r="D73">
        <v>0.19665523762479103</v>
      </c>
      <c r="E73">
        <v>9.0757394706246802E-2</v>
      </c>
      <c r="F73" s="1">
        <v>0.68571706602338922</v>
      </c>
      <c r="G73">
        <v>2.9324633583188158E-3</v>
      </c>
      <c r="H73">
        <v>0</v>
      </c>
      <c r="I73">
        <v>0</v>
      </c>
      <c r="J73">
        <v>0</v>
      </c>
    </row>
    <row r="74" spans="1:10">
      <c r="A74" s="15"/>
      <c r="B74" s="9">
        <v>900</v>
      </c>
      <c r="C74">
        <v>2.0946696789527545E-2</v>
      </c>
      <c r="D74">
        <v>0.20064006257128905</v>
      </c>
      <c r="E74">
        <v>9.1562432616675959E-2</v>
      </c>
      <c r="F74">
        <v>0.68570697487197729</v>
      </c>
      <c r="G74">
        <v>1.1438331505301356E-3</v>
      </c>
      <c r="H74">
        <v>0</v>
      </c>
      <c r="I74">
        <v>0</v>
      </c>
      <c r="J74">
        <v>6.1820158023625157E-18</v>
      </c>
    </row>
    <row r="75" spans="1:10">
      <c r="A75" s="15"/>
      <c r="B75" s="3">
        <v>950</v>
      </c>
      <c r="C75">
        <v>1.8629866971571391E-2</v>
      </c>
      <c r="D75">
        <v>0.20332682167945437</v>
      </c>
      <c r="E75">
        <v>9.3065417996171948E-2</v>
      </c>
      <c r="F75">
        <v>0.68449993292464872</v>
      </c>
      <c r="G75">
        <v>4.7796042815363634E-4</v>
      </c>
      <c r="H75">
        <v>0</v>
      </c>
      <c r="I75">
        <v>0</v>
      </c>
      <c r="J75">
        <v>1.2347603444106092E-17</v>
      </c>
    </row>
    <row r="76" spans="1:10">
      <c r="A76" s="15"/>
      <c r="B76" s="3">
        <v>1000</v>
      </c>
      <c r="C76">
        <v>1.6730564926676055E-2</v>
      </c>
      <c r="D76">
        <v>0.20537220211754054</v>
      </c>
      <c r="E76">
        <v>9.4643347576047393E-2</v>
      </c>
      <c r="F76">
        <v>0.68303886605932573</v>
      </c>
      <c r="G76">
        <v>2.1501932041010857E-4</v>
      </c>
      <c r="H76">
        <v>0</v>
      </c>
      <c r="I76">
        <v>0</v>
      </c>
      <c r="J76">
        <v>0</v>
      </c>
    </row>
    <row r="77" spans="1:10">
      <c r="A77" s="15"/>
    </row>
    <row r="78" spans="1:10">
      <c r="A78" s="15"/>
      <c r="B78" s="1" t="s">
        <v>84</v>
      </c>
      <c r="C78" t="s">
        <v>69</v>
      </c>
      <c r="D78" s="1" t="s">
        <v>86</v>
      </c>
    </row>
    <row r="79" spans="1:10">
      <c r="A79" s="15"/>
      <c r="B79" t="s">
        <v>68</v>
      </c>
      <c r="C79" s="3" t="s">
        <v>53</v>
      </c>
      <c r="D79" s="3" t="s">
        <v>55</v>
      </c>
      <c r="E79" s="3" t="s">
        <v>57</v>
      </c>
      <c r="F79" s="3" t="s">
        <v>59</v>
      </c>
      <c r="G79" s="9" t="s">
        <v>13</v>
      </c>
      <c r="H79" s="3" t="s">
        <v>70</v>
      </c>
      <c r="I79" s="3" t="s">
        <v>4</v>
      </c>
      <c r="J79" s="3" t="s">
        <v>15</v>
      </c>
    </row>
    <row r="80" spans="1:10">
      <c r="A80" s="15"/>
      <c r="B80">
        <v>655</v>
      </c>
      <c r="C80">
        <v>7.1751854884108859E-2</v>
      </c>
      <c r="D80">
        <v>4.4994836522164725E-2</v>
      </c>
      <c r="E80">
        <v>0.32859847574767581</v>
      </c>
      <c r="F80">
        <v>0.44318004463079902</v>
      </c>
      <c r="G80">
        <v>7.9498059645014968E-2</v>
      </c>
      <c r="H80">
        <v>0</v>
      </c>
      <c r="I80">
        <v>0</v>
      </c>
      <c r="J80">
        <v>3.1976728570236437E-2</v>
      </c>
    </row>
    <row r="81" spans="2:10">
      <c r="B81">
        <v>660</v>
      </c>
      <c r="C81">
        <v>7.0298569498944696E-2</v>
      </c>
      <c r="D81">
        <v>4.7611557199354171E-2</v>
      </c>
      <c r="E81">
        <v>0.31840540090637637</v>
      </c>
      <c r="F81">
        <v>0.4576982576222598</v>
      </c>
      <c r="G81">
        <v>6.7900858128939923E-2</v>
      </c>
      <c r="H81">
        <v>0</v>
      </c>
      <c r="I81">
        <v>0</v>
      </c>
      <c r="J81">
        <v>3.8085356644124983E-2</v>
      </c>
    </row>
    <row r="82" spans="2:10">
      <c r="B82">
        <v>665</v>
      </c>
      <c r="C82">
        <v>7.3426080760347776E-2</v>
      </c>
      <c r="D82">
        <v>5.0237242959285874E-2</v>
      </c>
      <c r="E82">
        <v>0.33006463675736658</v>
      </c>
      <c r="F82">
        <v>0.4456019838559615</v>
      </c>
      <c r="G82">
        <v>8.6605326806949171E-2</v>
      </c>
      <c r="H82">
        <v>0</v>
      </c>
      <c r="I82">
        <v>0</v>
      </c>
      <c r="J82">
        <v>1.4064728860089004E-2</v>
      </c>
    </row>
    <row r="83" spans="2:10">
      <c r="B83">
        <v>670</v>
      </c>
      <c r="C83">
        <v>7.4301363810772264E-2</v>
      </c>
      <c r="D83">
        <v>5.4461945556610658E-2</v>
      </c>
      <c r="E83">
        <v>0.32970164314315997</v>
      </c>
      <c r="F83">
        <v>0.44085357121392948</v>
      </c>
      <c r="G83">
        <v>9.4212077510638925E-2</v>
      </c>
      <c r="H83">
        <v>0</v>
      </c>
      <c r="I83">
        <v>0</v>
      </c>
      <c r="J83">
        <v>6.4693987648887594E-3</v>
      </c>
    </row>
    <row r="84" spans="2:10">
      <c r="B84">
        <v>680</v>
      </c>
      <c r="C84">
        <v>7.3217649330253737E-2</v>
      </c>
      <c r="D84">
        <v>5.95637297336295E-2</v>
      </c>
      <c r="E84">
        <v>0.31748058993160155</v>
      </c>
      <c r="F84">
        <v>0.46193020056348111</v>
      </c>
      <c r="G84">
        <v>8.1426261245623327E-2</v>
      </c>
      <c r="H84">
        <v>0</v>
      </c>
      <c r="I84">
        <v>0</v>
      </c>
      <c r="J84">
        <v>6.3815691954109523E-3</v>
      </c>
    </row>
    <row r="85" spans="2:10">
      <c r="B85">
        <v>690</v>
      </c>
      <c r="C85">
        <v>7.2138705173225001E-2</v>
      </c>
      <c r="D85">
        <v>6.4988047601722679E-2</v>
      </c>
      <c r="E85">
        <v>0.30778850374219285</v>
      </c>
      <c r="F85">
        <v>0.48358090233561207</v>
      </c>
      <c r="G85">
        <v>6.9663862482426508E-2</v>
      </c>
      <c r="H85">
        <v>0</v>
      </c>
      <c r="I85">
        <v>0</v>
      </c>
      <c r="J85">
        <v>1.8399786648207416E-3</v>
      </c>
    </row>
    <row r="86" spans="2:10">
      <c r="B86" s="3">
        <v>700</v>
      </c>
      <c r="C86">
        <v>7.0940764815733165E-2</v>
      </c>
      <c r="D86">
        <v>7.0209004061156433E-2</v>
      </c>
      <c r="E86">
        <v>0.30011592101214074</v>
      </c>
      <c r="F86">
        <v>0.49503756611158417</v>
      </c>
      <c r="G86">
        <v>6.3409065672424672E-2</v>
      </c>
      <c r="H86">
        <v>0</v>
      </c>
      <c r="I86">
        <v>0</v>
      </c>
      <c r="J86">
        <v>2.8767832696092332E-4</v>
      </c>
    </row>
    <row r="87" spans="2:10">
      <c r="B87" s="3">
        <v>750</v>
      </c>
      <c r="C87">
        <v>6.3004239749568064E-2</v>
      </c>
      <c r="D87">
        <v>9.6249671623411401E-2</v>
      </c>
      <c r="E87">
        <v>0.26452200279498422</v>
      </c>
      <c r="F87">
        <v>0.54076584241856362</v>
      </c>
      <c r="G87">
        <v>3.5458215919004575E-2</v>
      </c>
      <c r="H87">
        <v>0</v>
      </c>
      <c r="I87">
        <v>0</v>
      </c>
      <c r="J87">
        <v>2.7494468018135103E-8</v>
      </c>
    </row>
    <row r="88" spans="2:10">
      <c r="B88" s="3">
        <v>800</v>
      </c>
      <c r="C88">
        <v>5.4849921493856445E-2</v>
      </c>
      <c r="D88">
        <v>0.11626984014440049</v>
      </c>
      <c r="E88">
        <v>0.24385922882762875</v>
      </c>
      <c r="F88">
        <v>0.56820920636832162</v>
      </c>
      <c r="G88">
        <v>1.6811803165792692E-2</v>
      </c>
      <c r="H88">
        <v>0</v>
      </c>
      <c r="I88">
        <v>0</v>
      </c>
      <c r="J88">
        <v>0</v>
      </c>
    </row>
    <row r="89" spans="2:10">
      <c r="B89" s="3">
        <v>850</v>
      </c>
      <c r="C89">
        <v>4.8210818534150504E-2</v>
      </c>
      <c r="D89">
        <v>0.12904383749199397</v>
      </c>
      <c r="E89">
        <v>0.23559930254521391</v>
      </c>
      <c r="F89">
        <v>0.5799747866125794</v>
      </c>
      <c r="G89">
        <v>7.1712548160613359E-3</v>
      </c>
      <c r="H89">
        <v>0</v>
      </c>
      <c r="I89">
        <v>0</v>
      </c>
      <c r="J89">
        <v>7.831836390208886E-16</v>
      </c>
    </row>
    <row r="90" spans="2:10">
      <c r="B90" s="9">
        <v>900</v>
      </c>
      <c r="C90">
        <v>4.303100657613089E-2</v>
      </c>
      <c r="D90">
        <v>0.13688253549472826</v>
      </c>
      <c r="E90">
        <v>0.23432181982321126</v>
      </c>
      <c r="F90" s="1">
        <v>0.58277163278870836</v>
      </c>
      <c r="G90">
        <v>2.9930053172213815E-3</v>
      </c>
      <c r="H90">
        <v>0</v>
      </c>
      <c r="I90">
        <v>0</v>
      </c>
      <c r="J90">
        <v>5.0766765066234826E-18</v>
      </c>
    </row>
    <row r="91" spans="2:10">
      <c r="B91" s="3">
        <v>950</v>
      </c>
      <c r="C91">
        <v>3.883975978388899E-2</v>
      </c>
      <c r="D91">
        <v>0.14215460997630389</v>
      </c>
      <c r="E91">
        <v>0.23588819936992822</v>
      </c>
      <c r="F91">
        <v>0.58182286906446778</v>
      </c>
      <c r="G91">
        <v>1.2945618054111558E-3</v>
      </c>
      <c r="H91">
        <v>0</v>
      </c>
      <c r="I91">
        <v>0</v>
      </c>
      <c r="J91">
        <v>5.0595342239613275E-18</v>
      </c>
    </row>
    <row r="92" spans="2:10">
      <c r="B92" s="3">
        <v>1000</v>
      </c>
      <c r="C92">
        <v>3.5321363807541757E-2</v>
      </c>
      <c r="D92">
        <v>0.14611903168098628</v>
      </c>
      <c r="E92">
        <v>0.23832339000603303</v>
      </c>
      <c r="F92">
        <v>0.57964255027312583</v>
      </c>
      <c r="G92">
        <v>5.9366423231308808E-4</v>
      </c>
      <c r="J92">
        <v>0</v>
      </c>
    </row>
    <row r="94" spans="2:10">
      <c r="B94" s="1" t="s">
        <v>84</v>
      </c>
      <c r="C94" t="s">
        <v>69</v>
      </c>
      <c r="D94" s="1" t="s">
        <v>73</v>
      </c>
    </row>
    <row r="95" spans="2:10">
      <c r="B95" t="s">
        <v>68</v>
      </c>
      <c r="C95" s="3" t="s">
        <v>53</v>
      </c>
      <c r="D95" s="3" t="s">
        <v>55</v>
      </c>
      <c r="E95" s="3" t="s">
        <v>57</v>
      </c>
      <c r="F95" s="3" t="s">
        <v>59</v>
      </c>
      <c r="G95" s="9" t="s">
        <v>13</v>
      </c>
      <c r="H95" s="3" t="s">
        <v>70</v>
      </c>
      <c r="I95" s="3" t="s">
        <v>4</v>
      </c>
      <c r="J95" s="3" t="s">
        <v>15</v>
      </c>
    </row>
    <row r="96" spans="2:10">
      <c r="B96">
        <v>695</v>
      </c>
      <c r="C96">
        <v>6.8179018382498541E-2</v>
      </c>
      <c r="D96">
        <v>4.2672939596853386E-2</v>
      </c>
      <c r="E96">
        <v>0.3779446675572779</v>
      </c>
      <c r="F96">
        <v>0.38533830341929726</v>
      </c>
      <c r="G96">
        <v>0.119636594038928</v>
      </c>
      <c r="H96">
        <v>0</v>
      </c>
      <c r="I96">
        <v>0</v>
      </c>
      <c r="J96">
        <v>6.2284770051449206E-3</v>
      </c>
    </row>
    <row r="97" spans="2:10">
      <c r="B97">
        <v>700</v>
      </c>
      <c r="C97">
        <v>6.6451118116552632E-2</v>
      </c>
      <c r="D97">
        <v>4.5858965403528879E-2</v>
      </c>
      <c r="E97">
        <v>0.35302006156544735</v>
      </c>
      <c r="F97">
        <v>0.38813140955700681</v>
      </c>
      <c r="G97">
        <v>0.10802740132064627</v>
      </c>
      <c r="H97">
        <v>0</v>
      </c>
      <c r="I97">
        <v>0</v>
      </c>
      <c r="J97">
        <v>3.8511044036818168E-2</v>
      </c>
    </row>
    <row r="98" spans="2:10">
      <c r="B98">
        <v>710</v>
      </c>
      <c r="C98">
        <v>6.7020797045496072E-2</v>
      </c>
      <c r="D98">
        <v>5.0872732133368202E-2</v>
      </c>
      <c r="E98">
        <v>0.34906292887955664</v>
      </c>
      <c r="F98">
        <v>0.42974451940387515</v>
      </c>
      <c r="G98">
        <v>9.117580545180938E-2</v>
      </c>
      <c r="H98">
        <v>0</v>
      </c>
      <c r="I98">
        <v>0</v>
      </c>
      <c r="J98">
        <v>1.2123217085894762E-2</v>
      </c>
    </row>
    <row r="99" spans="2:10">
      <c r="B99">
        <v>720</v>
      </c>
      <c r="C99">
        <v>6.7360430344999916E-2</v>
      </c>
      <c r="D99">
        <v>5.6117654289113236E-2</v>
      </c>
      <c r="E99">
        <v>0.34547666505044944</v>
      </c>
      <c r="F99">
        <v>0.4386992658498069</v>
      </c>
      <c r="G99">
        <v>9.0595696576478105E-2</v>
      </c>
      <c r="H99">
        <v>0</v>
      </c>
      <c r="I99">
        <v>0</v>
      </c>
      <c r="J99">
        <v>1.7502878891525499E-3</v>
      </c>
    </row>
    <row r="100" spans="2:10">
      <c r="B100">
        <v>730</v>
      </c>
      <c r="C100">
        <v>6.6617127842317728E-2</v>
      </c>
      <c r="D100">
        <v>6.1014054503949131E-2</v>
      </c>
      <c r="E100">
        <v>0.33703372495766082</v>
      </c>
      <c r="F100">
        <v>0.44940194830284319</v>
      </c>
      <c r="G100">
        <v>8.4935995001368794E-2</v>
      </c>
      <c r="H100">
        <v>0</v>
      </c>
      <c r="I100">
        <v>0</v>
      </c>
      <c r="J100">
        <v>9.9714939186019156E-4</v>
      </c>
    </row>
    <row r="101" spans="2:10">
      <c r="B101">
        <v>735</v>
      </c>
      <c r="C101">
        <v>6.6200017385925569E-2</v>
      </c>
      <c r="D101">
        <v>6.3552569992578259E-2</v>
      </c>
      <c r="E101">
        <v>0.33286748727164917</v>
      </c>
      <c r="F101">
        <v>0.45555580936211248</v>
      </c>
      <c r="G101">
        <v>8.1726434515589905E-2</v>
      </c>
      <c r="H101">
        <v>0</v>
      </c>
      <c r="I101">
        <v>0</v>
      </c>
      <c r="J101">
        <v>9.7681472144656043E-5</v>
      </c>
    </row>
    <row r="102" spans="2:10">
      <c r="B102" s="3">
        <v>740</v>
      </c>
      <c r="C102">
        <v>6.5654075725899805E-2</v>
      </c>
      <c r="D102">
        <v>6.5974223698537532E-2</v>
      </c>
      <c r="E102">
        <v>0.32845674934687846</v>
      </c>
      <c r="F102">
        <v>0.4611846621198667</v>
      </c>
      <c r="G102">
        <v>7.8344506314121445E-2</v>
      </c>
      <c r="H102">
        <v>0</v>
      </c>
      <c r="I102">
        <v>0</v>
      </c>
      <c r="J102">
        <v>3.8578279469602122E-4</v>
      </c>
    </row>
    <row r="103" spans="2:10">
      <c r="B103" s="3">
        <v>750</v>
      </c>
      <c r="C103">
        <v>6.4437271898909063E-2</v>
      </c>
      <c r="D103">
        <v>7.1174553079608543E-2</v>
      </c>
      <c r="E103">
        <v>0.31883637552540273</v>
      </c>
      <c r="F103">
        <v>0.47082877590794608</v>
      </c>
      <c r="G103">
        <v>7.2164349445872022E-2</v>
      </c>
      <c r="H103">
        <v>0</v>
      </c>
      <c r="I103">
        <v>0</v>
      </c>
      <c r="J103">
        <v>2.5586741422616199E-3</v>
      </c>
    </row>
    <row r="104" spans="2:10">
      <c r="B104" s="3">
        <v>800</v>
      </c>
      <c r="C104">
        <v>5.772785023646082E-2</v>
      </c>
      <c r="D104">
        <v>9.5404418871261193E-2</v>
      </c>
      <c r="E104">
        <v>0.28466504091826739</v>
      </c>
      <c r="F104">
        <v>0.51712382350307129</v>
      </c>
      <c r="G104">
        <v>4.5078212025535844E-2</v>
      </c>
      <c r="H104">
        <v>0</v>
      </c>
      <c r="I104">
        <v>0</v>
      </c>
      <c r="J104">
        <v>6.5444540352186768E-7</v>
      </c>
    </row>
    <row r="105" spans="2:10">
      <c r="B105" s="3">
        <v>850</v>
      </c>
      <c r="C105">
        <v>5.0484999461074681E-2</v>
      </c>
      <c r="D105">
        <v>0.11552418127145347</v>
      </c>
      <c r="E105">
        <v>0.26063556071772082</v>
      </c>
      <c r="F105">
        <v>0.54851254394895355</v>
      </c>
      <c r="G105">
        <v>2.4842714486854153E-2</v>
      </c>
      <c r="H105">
        <v>0</v>
      </c>
      <c r="I105">
        <v>0</v>
      </c>
      <c r="J105">
        <v>1.139432975931923E-10</v>
      </c>
    </row>
    <row r="106" spans="2:10">
      <c r="B106" s="9">
        <v>900</v>
      </c>
      <c r="C106">
        <v>4.4321373232348457E-2</v>
      </c>
      <c r="D106">
        <v>0.12958481054107315</v>
      </c>
      <c r="E106">
        <v>0.24762075189102381</v>
      </c>
      <c r="F106">
        <v>0.56603992454746765</v>
      </c>
      <c r="G106">
        <v>1.2433139787868688E-2</v>
      </c>
      <c r="H106">
        <v>0</v>
      </c>
      <c r="I106">
        <v>0</v>
      </c>
      <c r="J106">
        <v>2.1837546378466274E-13</v>
      </c>
    </row>
    <row r="107" spans="2:10">
      <c r="B107" s="3">
        <v>950</v>
      </c>
      <c r="C107">
        <v>3.9471468937598259E-2</v>
      </c>
      <c r="D107">
        <v>0.13855925493964724</v>
      </c>
      <c r="E107">
        <v>0.24245391593194776</v>
      </c>
      <c r="F107">
        <v>0.57356364056933662</v>
      </c>
      <c r="G107">
        <v>5.9517196214702254E-3</v>
      </c>
      <c r="H107">
        <v>0</v>
      </c>
      <c r="I107">
        <v>0</v>
      </c>
      <c r="J107">
        <v>2.0426154489907213E-17</v>
      </c>
    </row>
    <row r="108" spans="2:10">
      <c r="B108" s="3">
        <v>1000</v>
      </c>
      <c r="C108">
        <v>3.5619137913165913E-2</v>
      </c>
      <c r="D108">
        <v>0.14437397644934361</v>
      </c>
      <c r="E108">
        <v>0.24154044149216827</v>
      </c>
      <c r="F108" s="1">
        <v>0.57559848100069444</v>
      </c>
      <c r="G108">
        <v>2.8679631446279479E-3</v>
      </c>
      <c r="H108">
        <v>0</v>
      </c>
      <c r="I108">
        <v>0</v>
      </c>
      <c r="J108">
        <v>0</v>
      </c>
    </row>
    <row r="109" spans="2:10">
      <c r="B109" s="3">
        <v>1050</v>
      </c>
      <c r="C109">
        <v>3.2446643693437208E-2</v>
      </c>
      <c r="D109">
        <v>0.14845912576639494</v>
      </c>
      <c r="E109">
        <v>0.24249648761839884</v>
      </c>
      <c r="F109">
        <v>0.5751639520729338</v>
      </c>
      <c r="G109">
        <v>1.4337908488351195E-3</v>
      </c>
      <c r="H109">
        <v>0</v>
      </c>
      <c r="I109">
        <v>0</v>
      </c>
      <c r="J109">
        <v>0</v>
      </c>
    </row>
    <row r="110" spans="2:10">
      <c r="B110" s="3">
        <v>1100</v>
      </c>
      <c r="C110">
        <v>2.9755698183617962E-2</v>
      </c>
      <c r="D110">
        <v>0.15158354225147094</v>
      </c>
      <c r="E110">
        <v>0.24413471790259472</v>
      </c>
      <c r="F110">
        <v>0.57377341948888461</v>
      </c>
      <c r="G110">
        <v>7.5262217343172015E-4</v>
      </c>
      <c r="H110">
        <v>0</v>
      </c>
      <c r="I110">
        <v>0</v>
      </c>
      <c r="J110">
        <v>5.0540644616215059E-18</v>
      </c>
    </row>
    <row r="112" spans="2:10">
      <c r="B112" s="1" t="s">
        <v>84</v>
      </c>
      <c r="C112" t="s">
        <v>69</v>
      </c>
      <c r="D112" t="s">
        <v>90</v>
      </c>
    </row>
    <row r="113" spans="2:10">
      <c r="B113" t="s">
        <v>68</v>
      </c>
      <c r="C113" s="3" t="s">
        <v>53</v>
      </c>
      <c r="D113" s="3" t="s">
        <v>55</v>
      </c>
      <c r="E113" s="3" t="s">
        <v>57</v>
      </c>
      <c r="F113" s="3" t="s">
        <v>59</v>
      </c>
      <c r="G113" s="9" t="s">
        <v>13</v>
      </c>
      <c r="H113" s="3" t="s">
        <v>70</v>
      </c>
      <c r="I113" s="3" t="s">
        <v>4</v>
      </c>
      <c r="J113" s="3" t="s">
        <v>15</v>
      </c>
    </row>
    <row r="114" spans="2:10">
      <c r="B114">
        <v>490</v>
      </c>
      <c r="C114">
        <v>8.4624894955957916E-2</v>
      </c>
      <c r="D114">
        <v>1.6648187672645684E-2</v>
      </c>
      <c r="E114">
        <v>0.34325442404992723</v>
      </c>
      <c r="F114">
        <v>0.40596533341651797</v>
      </c>
      <c r="G114">
        <v>0.10162728273781728</v>
      </c>
      <c r="H114">
        <v>0</v>
      </c>
      <c r="I114">
        <v>0</v>
      </c>
      <c r="J114">
        <v>4.7879877167133988E-2</v>
      </c>
    </row>
    <row r="115" spans="2:10">
      <c r="B115">
        <v>495</v>
      </c>
      <c r="C115">
        <v>9.6707907909386673E-2</v>
      </c>
      <c r="D115">
        <v>2.5054908700020525E-2</v>
      </c>
      <c r="E115">
        <v>0.31844443399646866</v>
      </c>
      <c r="F115">
        <v>0.45450188012268028</v>
      </c>
      <c r="G115">
        <v>9.6750485604161773E-2</v>
      </c>
      <c r="H115">
        <v>0</v>
      </c>
      <c r="I115">
        <v>0</v>
      </c>
      <c r="J115">
        <v>8.5403836672820147E-3</v>
      </c>
    </row>
    <row r="116" spans="2:10">
      <c r="B116">
        <v>500</v>
      </c>
      <c r="C116">
        <v>9.8126029727836753E-2</v>
      </c>
      <c r="D116">
        <v>2.7958357980045631E-2</v>
      </c>
      <c r="E116">
        <v>0.30952483505262984</v>
      </c>
      <c r="F116">
        <v>0.47630321577755164</v>
      </c>
      <c r="G116">
        <v>8.7447701824423324E-2</v>
      </c>
      <c r="H116">
        <v>0</v>
      </c>
      <c r="I116">
        <v>0</v>
      </c>
      <c r="J116">
        <v>6.3985963751280036E-4</v>
      </c>
    </row>
    <row r="117" spans="2:10">
      <c r="B117">
        <v>505</v>
      </c>
      <c r="C117">
        <v>9.7270267878822536E-2</v>
      </c>
      <c r="D117">
        <v>3.0040822091789165E-2</v>
      </c>
      <c r="E117">
        <v>0.29851781319319454</v>
      </c>
      <c r="F117">
        <v>0.48531072881445853</v>
      </c>
      <c r="G117">
        <v>7.8874982934539373E-2</v>
      </c>
      <c r="H117">
        <v>0</v>
      </c>
      <c r="I117">
        <v>0</v>
      </c>
      <c r="J117">
        <v>9.985385087195776E-3</v>
      </c>
    </row>
    <row r="118" spans="2:10">
      <c r="B118">
        <v>510</v>
      </c>
      <c r="C118">
        <v>9.8823528228013297E-2</v>
      </c>
      <c r="D118">
        <v>3.2925292550987167E-2</v>
      </c>
      <c r="E118">
        <v>0.29567212707618057</v>
      </c>
      <c r="F118">
        <v>0.49352810091939786</v>
      </c>
      <c r="G118">
        <v>7.9019914477085618E-2</v>
      </c>
      <c r="H118">
        <v>0</v>
      </c>
      <c r="I118">
        <v>0</v>
      </c>
      <c r="J118">
        <v>3.1036748335496671E-5</v>
      </c>
    </row>
    <row r="119" spans="2:10">
      <c r="B119">
        <v>520</v>
      </c>
      <c r="C119">
        <v>9.8850707469425952E-2</v>
      </c>
      <c r="D119">
        <v>3.8254403225388228E-2</v>
      </c>
      <c r="E119">
        <v>0.2825195804675672</v>
      </c>
      <c r="F119">
        <v>0.50981616664436968</v>
      </c>
      <c r="G119">
        <v>7.0459985212658213E-2</v>
      </c>
      <c r="H119">
        <v>0</v>
      </c>
      <c r="I119">
        <v>0</v>
      </c>
      <c r="J119">
        <v>9.9156980590625881E-5</v>
      </c>
    </row>
    <row r="120" spans="2:10">
      <c r="B120">
        <v>540</v>
      </c>
      <c r="C120">
        <v>9.7475224638792796E-2</v>
      </c>
      <c r="D120">
        <v>5.0550170569092945E-2</v>
      </c>
      <c r="E120">
        <v>0.25708682518289105</v>
      </c>
      <c r="F120">
        <v>0.54192734447491797</v>
      </c>
      <c r="G120">
        <v>5.2821615697708109E-2</v>
      </c>
      <c r="H120">
        <v>0</v>
      </c>
      <c r="I120">
        <v>0</v>
      </c>
      <c r="J120">
        <v>1.3881943659732328E-4</v>
      </c>
    </row>
    <row r="121" spans="2:10">
      <c r="B121">
        <v>560</v>
      </c>
      <c r="C121">
        <v>9.4300891843638185E-2</v>
      </c>
      <c r="D121">
        <v>6.3263467422319322E-2</v>
      </c>
      <c r="E121">
        <v>0.23732989201779789</v>
      </c>
      <c r="F121">
        <v>0.56698729108512091</v>
      </c>
      <c r="G121">
        <v>3.8117037263194799E-2</v>
      </c>
      <c r="H121">
        <v>0</v>
      </c>
      <c r="I121">
        <v>0</v>
      </c>
      <c r="J121">
        <v>1.4203679289162496E-6</v>
      </c>
    </row>
    <row r="122" spans="2:10">
      <c r="B122">
        <v>580</v>
      </c>
      <c r="C122">
        <v>8.9989111577787356E-2</v>
      </c>
      <c r="D122">
        <v>7.5457306013702763E-2</v>
      </c>
      <c r="E122">
        <v>0.22249812187703261</v>
      </c>
      <c r="F122">
        <v>0.58632845792335153</v>
      </c>
      <c r="G122">
        <v>2.5726996041486965E-2</v>
      </c>
      <c r="H122">
        <v>0</v>
      </c>
      <c r="I122">
        <v>0</v>
      </c>
      <c r="J122">
        <v>6.5666387040025309E-9</v>
      </c>
    </row>
    <row r="123" spans="2:10">
      <c r="B123">
        <v>600</v>
      </c>
      <c r="C123">
        <v>8.5275857087605197E-2</v>
      </c>
      <c r="D123">
        <v>8.6158699038443129E-2</v>
      </c>
      <c r="E123">
        <v>0.21266879246533865</v>
      </c>
      <c r="F123">
        <v>0.5995795250378918</v>
      </c>
      <c r="G123">
        <v>1.631712635947774E-2</v>
      </c>
      <c r="H123">
        <v>0</v>
      </c>
      <c r="I123">
        <v>0</v>
      </c>
      <c r="J123">
        <v>1.1243345292014946E-11</v>
      </c>
    </row>
    <row r="124" spans="2:10">
      <c r="B124">
        <v>650</v>
      </c>
      <c r="C124">
        <v>7.4445381897871463E-2</v>
      </c>
      <c r="D124">
        <v>0.10460960914987176</v>
      </c>
      <c r="E124">
        <v>0.20499249698618008</v>
      </c>
      <c r="F124">
        <v>0.61161035504110306</v>
      </c>
      <c r="G124">
        <v>4.3421569249737259E-3</v>
      </c>
      <c r="H124">
        <v>0</v>
      </c>
      <c r="I124">
        <v>0</v>
      </c>
      <c r="J124">
        <v>5.090293408247457E-18</v>
      </c>
    </row>
    <row r="125" spans="2:10">
      <c r="B125" s="3">
        <v>700</v>
      </c>
      <c r="C125">
        <v>6.5769499353132505E-2</v>
      </c>
      <c r="D125">
        <v>0.11534967086768984</v>
      </c>
      <c r="E125">
        <v>0.20865537296772754</v>
      </c>
      <c r="F125">
        <v>0.60912701001559955</v>
      </c>
      <c r="G125">
        <v>1.0984467958506101E-3</v>
      </c>
      <c r="H125">
        <v>0</v>
      </c>
      <c r="I125">
        <v>0</v>
      </c>
      <c r="J125">
        <v>0</v>
      </c>
    </row>
    <row r="126" spans="2:10">
      <c r="B126" s="3">
        <v>750</v>
      </c>
      <c r="C126">
        <v>5.8569113678001869E-2</v>
      </c>
      <c r="D126">
        <v>0.12305581625923948</v>
      </c>
      <c r="E126">
        <v>0.21462748504584056</v>
      </c>
      <c r="F126">
        <v>0.60344390348972587</v>
      </c>
      <c r="G126">
        <v>3.0368152719218171E-4</v>
      </c>
      <c r="H126">
        <v>0</v>
      </c>
      <c r="I126">
        <v>0</v>
      </c>
      <c r="J126">
        <v>1.0099066664294917E-17</v>
      </c>
    </row>
    <row r="127" spans="2:10">
      <c r="B127" s="3">
        <v>800</v>
      </c>
      <c r="C127">
        <v>5.2430056152730123E-2</v>
      </c>
      <c r="D127">
        <v>0.12932819295463002</v>
      </c>
      <c r="E127">
        <v>0.22044276744368094</v>
      </c>
      <c r="F127">
        <v>0.59770480347481059</v>
      </c>
      <c r="G127">
        <v>9.4179974148332957E-5</v>
      </c>
      <c r="H127">
        <v>0</v>
      </c>
      <c r="I127">
        <v>0</v>
      </c>
      <c r="J127">
        <v>0</v>
      </c>
    </row>
    <row r="128" spans="2:10">
      <c r="B128" s="3">
        <v>850</v>
      </c>
      <c r="C128">
        <v>4.7152099206340788E-2</v>
      </c>
      <c r="D128">
        <v>0.13464534231000996</v>
      </c>
      <c r="E128">
        <v>0.22562554282537872</v>
      </c>
      <c r="F128">
        <v>0.59254442375539307</v>
      </c>
      <c r="G128">
        <v>3.2591902877326587E-5</v>
      </c>
      <c r="H128">
        <v>0</v>
      </c>
      <c r="I128">
        <v>0</v>
      </c>
      <c r="J128">
        <v>1.0093594483519436E-17</v>
      </c>
    </row>
    <row r="129" spans="2:10">
      <c r="B129" s="9">
        <v>900</v>
      </c>
      <c r="C129">
        <v>4.2599067095007485E-2</v>
      </c>
      <c r="D129">
        <v>0.13921118993347961</v>
      </c>
      <c r="E129">
        <v>0.23014745155009536</v>
      </c>
      <c r="F129">
        <v>0.58802983818046883</v>
      </c>
      <c r="G129">
        <v>1.2453240948888453E-5</v>
      </c>
      <c r="H129">
        <v>0</v>
      </c>
      <c r="I129">
        <v>0</v>
      </c>
      <c r="J129">
        <v>5.0465939835219179E-18</v>
      </c>
    </row>
    <row r="130" spans="2:10">
      <c r="B130" s="3">
        <v>950</v>
      </c>
      <c r="C130">
        <v>3.8660557871823174E-2</v>
      </c>
      <c r="D130">
        <v>0.14315431520022731</v>
      </c>
      <c r="E130">
        <v>0.23407475038176853</v>
      </c>
      <c r="F130">
        <v>0.58410517708797449</v>
      </c>
      <c r="G130">
        <v>5.199458206394571E-6</v>
      </c>
      <c r="H130">
        <v>0</v>
      </c>
      <c r="I130">
        <v>0</v>
      </c>
      <c r="J130">
        <v>0</v>
      </c>
    </row>
    <row r="131" spans="2:10">
      <c r="B131" s="3">
        <v>1000</v>
      </c>
      <c r="C131">
        <v>3.5243127138190215E-2</v>
      </c>
      <c r="D131">
        <v>0.14657355906689104</v>
      </c>
      <c r="E131">
        <v>0.23748777779232672</v>
      </c>
      <c r="F131">
        <v>0.58069318575343409</v>
      </c>
      <c r="G131">
        <v>2.3502491580173326E-6</v>
      </c>
      <c r="H131">
        <v>0</v>
      </c>
      <c r="I131">
        <v>0</v>
      </c>
      <c r="J131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Лист3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Надежда</cp:lastModifiedBy>
  <dcterms:created xsi:type="dcterms:W3CDTF">2023-02-04T04:18:28Z</dcterms:created>
  <dcterms:modified xsi:type="dcterms:W3CDTF">2024-04-20T13:21:25Z</dcterms:modified>
</cp:coreProperties>
</file>